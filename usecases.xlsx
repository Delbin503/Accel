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4"/>
    <sheet state="visible" name="Use Case Library" sheetId="2" r:id="rId5"/>
    <sheet state="visible" name="Column Guide" sheetId="3" r:id="rId6"/>
    <sheet state="visible" name="Modality Summary" sheetId="4" r:id="rId7"/>
    <sheet state="visible" name="Projects" sheetId="5" r:id="rId8"/>
    <sheet state="visible" name="Policy - TEMPLATE" sheetId="6" r:id="rId9"/>
    <sheet state="visible" name="Policy - UC-001" sheetId="7" r:id="rId10"/>
    <sheet state="visible" name="Policy - UC-002 (V1.0)" sheetId="8" r:id="rId11"/>
    <sheet state="visible" name="Policy - UC-002 (V1.1)" sheetId="9" r:id="rId12"/>
    <sheet state="visible" name="Policy - UC-003" sheetId="10" r:id="rId13"/>
    <sheet state="visible" name="Policy - UC-004" sheetId="11" r:id="rId14"/>
    <sheet state="visible" name="Policy - UC-005" sheetId="12" r:id="rId15"/>
    <sheet state="visible" name="Policy - UC-006" sheetId="13" r:id="rId16"/>
    <sheet state="visible" name="Policy - UC-007" sheetId="14" r:id="rId17"/>
    <sheet state="visible" name="Policy - UC-008" sheetId="15" r:id="rId18"/>
    <sheet state="visible" name="Policy - UC-009" sheetId="16" r:id="rId19"/>
    <sheet state="visible" name="Policy - UC-010" sheetId="17" r:id="rId20"/>
    <sheet state="visible" name="Policy - UC-051" sheetId="18" r:id="rId21"/>
    <sheet state="visible" name="Policy - UC-052" sheetId="19" r:id="rId22"/>
    <sheet state="visible" name="Policy - UC-053" sheetId="20" r:id="rId23"/>
  </sheets>
  <definedNames>
    <definedName hidden="1" localSheetId="1" name="_xlnm._FilterDatabase">'Use Case Library'!$B$1:$T$59</definedName>
  </definedNames>
  <calcPr/>
  <extLst>
    <ext uri="GoogleSheetsCustomDataVersion2">
      <go:sheetsCustomData xmlns:go="http://customooxmlschemas.google.com/" r:id="rId24" roundtripDataChecksum="1AxH9SM22DesLX3UBRT8W0xQ6NnznPG1QafJhe2icq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0">
      <text>
        <t xml:space="preserve">======
ID#AAAB6wA6gsw
Prinanda Rahmatullah    (2026-05-19 02:56:11)
for the layer 1, it should be handled by each AI service (inside containers)
this MTS (layer 2) is placed outside the containers</t>
      </text>
    </comment>
    <comment authorId="0" ref="C19">
      <text>
        <t xml:space="preserve">======
ID#AAAB6wA6gso
Prinanda Rahmatullah    (2026-05-19 02:54:24)
remember, it consumes data from the AI service, not directly from the model. So, I think it doesn't require a GPU here.
------
ID#AAAB6wA6gss
Prinanda Rahmatullah    (2026-05-19 02:54:41)
@hafidz.sigmawaveai@gmail.com</t>
      </text>
    </comment>
  </commentList>
  <extLst>
    <ext uri="GoogleSheetsCustomDataVersion2">
      <go:sheetsCustomData xmlns:go="http://customooxmlschemas.google.com/" r:id="rId1" roundtripDataSignature="AMtx7mg0TCeqm5xB/Pqt2elBZsnQ/H8y6g=="/>
    </ext>
  </extLst>
</comments>
</file>

<file path=xl/sharedStrings.xml><?xml version="1.0" encoding="utf-8"?>
<sst xmlns="http://schemas.openxmlformats.org/spreadsheetml/2006/main" count="2184" uniqueCount="859">
  <si>
    <t>HOW TO USE THIS WORKBOOK</t>
  </si>
  <si>
    <t>STRUCTURE</t>
  </si>
  <si>
    <t>One master sheet - 'Use Case Library' - contains all 46 defence use cases with full detail. Policy sheets pull from it automatically via INDEX/MATCH. One input (UC ID in yellow cell) drives all lookups.</t>
  </si>
  <si>
    <t>ADDING A NEW POLICY (3 steps)</t>
  </si>
  <si>
    <t>1.  Right-click 'Policy - TEMPLATE' tab → Move or Copy → tick 'Create a copy'. Rename to 'Policy - UC-XXX'.</t>
  </si>
  <si>
    <t>2.  Type the UC ID in the yellow cell. All context auto-fills.</t>
  </si>
  <si>
    <t>3.  Fill in Decision Logic, Metrics, Edge Cases, Test Cases, and Sign-off manually.</t>
  </si>
  <si>
    <t>ADDING A NEW USE CASE</t>
  </si>
  <si>
    <t>Add a row in the Use Case Library after the appropriate group separator. Use the same column structure. Then create a policy sheet for it when ready.</t>
  </si>
  <si>
    <t>COLOUR CODING</t>
  </si>
  <si>
    <t>Group separator rows are colour-coded by domain. The Detection Modality column is colour-coded: green = Visual Only, amber = Visual-Primary Audio-Enhanced, red = Visual + Audio (required). The Modality Summary sheet provides a full breakdown.</t>
  </si>
  <si>
    <t>SMART LINKING</t>
  </si>
  <si>
    <t>Blue text in policy sheets = auto-pulled from library via INDEX/MATCH on the UC ID. Edit the source in the library, not the policy sheet.</t>
  </si>
  <si>
    <t>TIPS</t>
  </si>
  <si>
    <t>• Filter by Group, Priority, or Modality to focus your work.</t>
  </si>
  <si>
    <t>• The Decision Logic section is the heart of each policy - invest time there.</t>
  </si>
  <si>
    <t>• Always include ambiguous test cases - that's where policies break.</t>
  </si>
  <si>
    <t>• Foundation use cases (UC-006, UC-008, UC-045) should be prioritised first - many others depend on them.</t>
  </si>
  <si>
    <t>Status</t>
  </si>
  <si>
    <t>UC ID</t>
  </si>
  <si>
    <t>Group</t>
  </si>
  <si>
    <t>Category</t>
  </si>
  <si>
    <t>Use Case Name</t>
  </si>
  <si>
    <t>Description</t>
  </si>
  <si>
    <t>User Intent</t>
  </si>
  <si>
    <t>Trigger / Detection Method</t>
  </si>
  <si>
    <t>Key Behaviours to Track</t>
  </si>
  <si>
    <t>Desired Outcome</t>
  </si>
  <si>
    <t>Current Handling</t>
  </si>
  <si>
    <t>Edge Cases / Failure Modes</t>
  </si>
  <si>
    <t>Priority</t>
  </si>
  <si>
    <t>Policy / Algorithm Status</t>
  </si>
  <si>
    <t>Policy / Algorithm Summary</t>
  </si>
  <si>
    <t>Dependencies</t>
  </si>
  <si>
    <t>Config Variables</t>
  </si>
  <si>
    <t>Detection Modality</t>
  </si>
  <si>
    <t>Modality Rationale</t>
  </si>
  <si>
    <t>Policy Sheet</t>
  </si>
  <si>
    <t xml:space="preserve">  GROUP A: CORE SAFETY</t>
  </si>
  <si>
    <t>UC-001</t>
  </si>
  <si>
    <t>A</t>
  </si>
  <si>
    <t>Core Safety</t>
  </si>
  <si>
    <t>Weapon Muzzle Direction Violation (Flagging)</t>
  </si>
  <si>
    <t>Detects when a weapon muzzle sweeps across another person or points in an unsafe direction relative to the designated firing arc. Must distinguish momentary transitions (low-ready to firing position) from sustained unsafe orientation.</t>
  </si>
  <si>
    <t>Never point your weapon at anything you don't intend to shoot - the most fundamental range safety rule.</t>
  </si>
  <si>
    <t>Pose estimation of firer + weapon orientation vector relative to other detected persons and safe arc boundaries.</t>
  </si>
  <si>
    <t>1) Muzzle-to-person angular proximity
2) Duration of unsafe orientation (transient vs sustained)
3) Frequency per individual per session
4) Context: was the firer in motion or stationary?</t>
  </si>
  <si>
    <t>Immediate visual/audible alert to range safety officer with camera snapshot and firer location.
By default: If no external system integration is needed, it will then route the notification and alert to Accel.</t>
  </si>
  <si>
    <t>Generic post-event review of CCTV - violations discovered after the fact, if at all.</t>
  </si>
  <si>
    <t>- Momentary sweep during weapon transition
- Multiple people in frame - which is 'swept'?
- Weapon with mounted optic obscures muzzle line
- Prone position makes muzzle direction harder to resolve</t>
  </si>
  <si>
    <t>P0 - Critical</t>
  </si>
  <si>
    <t>Not Started</t>
  </si>
  <si>
    <t>Weapon Muzzle Direction Violation
IF muzzle-to-person angle &lt; 15° AND duration &gt; 2s → ALERT (sustained sweep). 
IF angle &lt; 15° AND duration ≤ 2s → LOG as transient. 
IF firer in motion (transitioning stance) → suppress alert, log only. 
Repeated transients (≥3 in session) → escalate to pattern alert via UC-010</t>
  </si>
  <si>
    <t>Visual Only</t>
  </si>
  <si>
    <t>Weapon orientation vector is fully observable from visual pose estimation. No audio needed.</t>
  </si>
  <si>
    <t>UC-002</t>
  </si>
  <si>
    <t>Unauthorized Person in Danger Zone</t>
  </si>
  <si>
    <t>Detects a human figure entering a designated danger zone or downrange area while the (live/simulated) range is in operation. Could be a range worker, lost individual, or animal false positive.</t>
  </si>
  <si>
    <t>Prevent any person from being in the impact area or danger zone during (live/simulated) fire.</t>
  </si>
  <si>
    <t>Person detection (human body classifier) + geofenced zone overlay on camera feed + range status integration (hot/cold).
Focus on both day and night modes.</t>
  </si>
  <si>
    <t>1) Detection confidence score
2) Time from zone entry (seen on camera) to alert (latency)
3) False positive rate (animals, shadows, vegetation)
4) Distance from nearest active firing point</t>
  </si>
  <si>
    <t>Immediate range-wide ceasefire recommendation with location overlay and camera feed to range control.
By default: If no external system integration is needed, it will then route the notification and alert to Accel.</t>
  </si>
  <si>
    <t>Physical sentries and range guards with binoculars - limited visibility, fatigue, no night capability.</t>
  </si>
  <si>
    <t>- Animal intrusion triggering false alert
- Heat shimmer / mirage causing phantom detections
- Authorised range party in zone during brief ceasefire windows
- Person partially occluded by terrain</t>
  </si>
  <si>
    <t>Unauthorized Person in Danger Zone
IF human detected in geofenced danger zone AND range status = HOT → immediate CEASEFIRE RECOMMENDATION to range control. 
IF confidence &lt; 0.7 → flag for human verification before ceasefire call. 
IF entity classified as animal → LOG, no ceasefire. 
IF range status = COLD → LOG as administrative entry, no alert.</t>
  </si>
  <si>
    <t>UC-006, UC-027</t>
  </si>
  <si>
    <t>Human figure detection in a geofenced zone is well-established visual analytics. No audio needed.</t>
  </si>
  <si>
    <t>UC-003</t>
  </si>
  <si>
    <t>Weapon Left Unattended Detection</t>
  </si>
  <si>
    <t>Detects a weapon stationary and not associated with any person in proximity - on ground, bench, or firing point with no one nearby - beyond a defined time threshold.</t>
  </si>
  <si>
    <t>No weapon should ever be left unsecured and unattended on a range.</t>
  </si>
  <si>
    <t>Weapon-shaped object detection + human proximity check within defined radius + time-based trigger (e.g., 30s with no person within 2m).
Focus on both day and night modes.</t>
  </si>
  <si>
    <t>1) Time weapon is unattended before detection
2) Distance to nearest person when flagged
3) Location context (firing point vs walkway vs rest area)
4) False positive rate (training props, weapon racks)</t>
  </si>
  <si>
    <t>Alert to nearest safety officer with weapon location, camera feed, and duration unattended.
By default: If no external system integration is needed, it will then route the notification and alert to Accel.</t>
  </si>
  <si>
    <t>Discovered during physical checks or when someone reports a found weapon.</t>
  </si>
  <si>
    <t>- Weapons deliberately placed in racks (authorised)
- Training props / dummy weapons
- Weapon placed down momentarily during drill change
- Partial occlusion (under bench, behind bag)</t>
  </si>
  <si>
    <t>P1 - High</t>
  </si>
  <si>
    <t>Weapon Left Unattended
IF weapon detected with no person within 2m radius for &gt; 30s → ALERT to nearest safety officer. 
IF weapon is in designated rack/storage zone → suppress (authorised placement). 
IF weapon unattended &gt; 120s anywhere → escalate to URGENT. 
Reset timer when any person enters 2m radius.</t>
  </si>
  <si>
    <t>UC-008</t>
  </si>
  <si>
    <t>Weapon detection + proximity analysis is fully visual. Time-based logic is system-side.</t>
  </si>
  <si>
    <t>UC-004</t>
  </si>
  <si>
    <t>Negligent / Accidental Discharge Detection</t>
  </si>
  <si>
    <t>Detects weapon discharge outside designated firing window or when range status is ceasefire/safe. Must distinguish actual discharge from camera artifacts.</t>
  </si>
  <si>
    <t>Any unplanned discharge is a serious safety incident requiring immediate investigation.</t>
  </si>
  <si>
    <t>Muzzle flash detection (1-2 frames) + recoil signature + ACOUSTIC GUNSHOT DETECTION for confirmation. Visual alone insufficient in daylight.
Focus on both day and night modes. Necessary to consider audio cue from the live environment - adopt this as one of the primary verification layers.</t>
  </si>
  <si>
    <t>1) Detection confidence (visual-only vs audio-confirmed)
2) Exact timestamp and location
3) Range status at time of discharge
4) Direction of discharge relative to safe arc
5) Attribution: which position fired</t>
  </si>
  <si>
    <t>Immediate alert with multi-modal confirmation. Auto-log incident. Trigger ceasefire if range was supposed to be safe.
The placement location of audio receiver in this case is important. Ensure the audio cue received is clear - this case may need to define the sound decibel to gauge the distance apart.
By default: If no external system integration is needed, it will then route the notification and alert to Accel.</t>
  </si>
  <si>
    <t>Reported verbally by safety officers - delayed, sometimes missed in noisy environments.</t>
  </si>
  <si>
    <t>- Daylight muzzle flash nearly invisible on camera
- Blank rounds: flash but no recoil
- Reflected light / camera artifact mimics flash
- Suppressed weapons: minimal flash and report
- Multiple simultaneous discharges</t>
  </si>
  <si>
    <t>Negligent / Accidental Discharge
IF acoustic gunshot detected AND range status ≠ HOT → CRITICAL ALERT + auto-log incident. 
IF acoustic detected AND range status = HOT but outside firing window → ALERT. 
IF visual muzzle flash only (no acoustic confirm) → flag as UNCONFIRMED, request human verification. 
Always capture ±10s multi-camera footage around event timestamp.</t>
  </si>
  <si>
    <t>UC-008, UC-026</t>
  </si>
  <si>
    <t>Visual + Audio</t>
  </si>
  <si>
    <t>AUDIO CRITICAL. Muzzle flash often invisible in daylight (1-2 frames). Acoustic gunshot detection provides reliable trigger; video provides attribution.</t>
  </si>
  <si>
    <t>UC-005</t>
  </si>
  <si>
    <t>Post-Firing Weapon Clearing Verification</t>
  </si>
  <si>
    <t>After ceasefire, visually monitors each firer performing clearing drill - magazine removal, bolt lock, chamber inspection - flags skipped or incorrect steps.</t>
  </si>
  <si>
    <t>Verify every weapon is made safe before anyone moves from firing position.</t>
  </si>
  <si>
    <t>Action sequence recognition: detect magazine removal → bolt manipulation → chamber check → show-clear gesture.
Take note for night mode, where it can be dark, IR camera need to be considered.</t>
  </si>
  <si>
    <t>1) Clearing steps completed per individual
2) Steps skipped or out of order
3) Time from ceasefire to clearing complete
4) Individuals who walk away without clearing</t>
  </si>
  <si>
    <t>Checklist overlay per firing position. Flag incomplete clearings before range declared safe.
By default: If no external system integration is needed, it will then route the notification and alert to Accel.</t>
  </si>
  <si>
    <t>Safety officer walks the line - slow, can miss detail with many firers.</t>
  </si>
  <si>
    <t>- Belt-fed weapons have different clearing sequence
- Pistols cleared differently than long arms
- Body occludes weapon manipulation from certain angles
- Speed of manipulation hard to resolve at standard frame rates</t>
  </si>
  <si>
    <t>Post-Firing Weapon Clearing Verification
On CEASEFIRE event, initiate per-position monitoring. 
FOR EACH firer: track clearing sequence [magazine remove → bolt lock → chamber check → show-clear]. 
IF any step skipped → FLAG position as INCOMPLETE. 
IF firer leaves position before all steps confirmed → URGENT ALERT. 
Range not declared SAFE until all positions show COMPLETE.</t>
  </si>
  <si>
    <t>UC-008, UC-006</t>
  </si>
  <si>
    <t>Clearing is a sequence of visible physical actions. Fully observable from visual analytics.</t>
  </si>
  <si>
    <t>UC-006</t>
  </si>
  <si>
    <t>Personnel Count and Position Reconciliation</t>
  </si>
  <si>
    <t>Continuously counts and maps all personnel against expected manifest. Detects: missing person, extra person, person in wrong position.</t>
  </si>
  <si>
    <t>Know where every person on the range is at all times.</t>
  </si>
  <si>
    <t>Multi-camera person detection + position mapping + manifest comparison.</t>
  </si>
  <si>
    <t>1) Count accuracy vs manifest
2) Position accuracy (correct lane/zone)
3) Time to detect discrepancy
4) Resilience to occlusion and grouping</t>
  </si>
  <si>
    <t>Real-time personnel map in range control. Instant alert on count mismatch or position deviation.
By default: If no external system integration is needed, it will then route the notification and alert to Accel.</t>
  </si>
  <si>
    <t>Manual headcount at start and end of serials - no continuous tracking.</t>
  </si>
  <si>
    <t>- Identical uniforms and gear
- Clustering makes count difficult
- Camera blind spots
- People entering/exiting buildings or vehicles</t>
  </si>
  <si>
    <t>Personnel Count and Position Reconciliation
On exercise start, lock manifest count. Continuous count at 5s intervals. 
IF count &lt; manifest → MISSING PERSON alert (P0). 
IF count &gt; manifest → EXTRA PERSON alert. 
IF individual deviates &gt; 10m from assigned position → POSITION DEVIATION warning. 
Reconcile against UC-035 entry/exit log for discrepancy resolution.</t>
  </si>
  <si>
    <t>UC-045, UC-035</t>
  </si>
  <si>
    <t>Person detection and counting is mature visual analytics. Foundation use case for many others.</t>
  </si>
  <si>
    <t>UC-007</t>
  </si>
  <si>
    <t>Firing Line Breach Detection</t>
  </si>
  <si>
    <t>Detects when any person moves forward of the firing line during live-fire serial. Even partial step counts.</t>
  </si>
  <si>
    <t>No person forward of the firing line while weapons are firing.</t>
  </si>
  <si>
    <t>Person detection + firing line boundary definition in camera frame. Track foot position relative to line.</t>
  </si>
  <si>
    <t>1) Detection latency from breach to alert
2) Severity: partial step vs full breach
3) Distance forward of line
4) False positive rate from parallax</t>
  </si>
  <si>
    <t>Immediate alert. Automatic ceasefire recommendation if breach exceeds threshold.
By default: If no external system integration is needed, it will then route the notification and alert to Accel.</t>
  </si>
  <si>
    <t>Range safety officer watches - can miss peripheral breaches.</t>
  </si>
  <si>
    <t>- Firing line not physically marked (field firing)
- Camera angle makes position ambiguous
- Person drops object forward and reaches
- Line changes between serials</t>
  </si>
  <si>
    <t>Firing Line Breach Detection
IF any person's foot position crosses firing line boundary AND range status = HOT → IMMEDIATE ALERT + ceasefire recommendation. 
IF breach &lt; 0.5m and &lt; 1s (momentary lean) → LOG as minor, no ceasefire. 
IF breach &gt; 1m or sustained &gt; 2s → CRITICAL, auto-recommend ceasefire. 
Update line boundary definition at each serial change.</t>
  </si>
  <si>
    <t>Line boundary + person position is straightforward visual detection.</t>
  </si>
  <si>
    <t>Weapon Readiness State Classification</t>
  </si>
  <si>
    <t>Classifies observable weapon state: holstered/slung, low-ready, high-ready, aimed/shouldered, firing. Feeds into other use cases.</t>
  </si>
  <si>
    <t>Continuous awareness of weapon states across the range.</t>
  </si>
  <si>
    <t>Weapon detection + pose classification. Multi-class: slung, low-ready, high-ready, aimed, firing.</t>
  </si>
  <si>
    <t>1) Classification accuracy per state
2) State transition detection speed
3) Accuracy across weapon types
4) Robustness to occlusion from gear</t>
  </si>
  <si>
    <t>Real-time weapon state overlay. Anomaly detection: aimed during ceasefire, firing outside window.</t>
  </si>
  <si>
    <t>No automated tracking - entirely dependent on safety officer observation.</t>
  </si>
  <si>
    <t>- Weapon partially hidden by body armour
- Pistol states subtler than rifle
- Slung weapon bouncing mimics state change
- Night/IR conditions alter appearance</t>
  </si>
  <si>
    <t>Weapon Readiness State Classification
Continuous classification per tracked individual: SLUNG → LOW-READY → HIGH-READY → AIMED → FIRING. 
IF state = AIMED and range status ≠ HOT → ALERT. 
IF state = AIMED and firer not at designated firing position → ALERT. 
Feed state data to UC-001 (muzzle direction uses weapon state as input) and UC-004 (firing state outside window).</t>
  </si>
  <si>
    <t>UC-001, UC-004, UC-005</t>
  </si>
  <si>
    <t>Weapon state is defined by visible physical configuration. Visual pose classification task.</t>
  </si>
  <si>
    <t>UC-009</t>
  </si>
  <si>
    <t>Medical Casualty Detection During Live Exercise</t>
  </si>
  <si>
    <t>Detects person falling, collapsing, or exhibiting distress postures while weapons are in play. Must distinguish genuine event from tactical movement.</t>
  </si>
  <si>
    <t>Get medical help immediately, even when live fire creates access challenges.
Especially critical when the casualty personnel is alone - often overlooked.</t>
  </si>
  <si>
    <t>Fall detection (sudden vertical-to-horizontal) + stationary posture duration + context analysis.</t>
  </si>
  <si>
    <t>1) Time from collapse to detection
2) False positive rate (going prone intentionally vs fall)
3) Distinguishing tactical prone from distress
4) Context: expected vs unexpected posture for exercise phase</t>
  </si>
  <si>
    <t>Immediate alert to safety officer and medical team. Ceasefire recommendation for affected lane.
By default: If no external system integration is needed, it will then route the notification and alert to Accel.</t>
  </si>
  <si>
    <t>Buddy or adjacent firer notices - delayed, sometimes missed during intense firing.</t>
  </si>
  <si>
    <t>- Going prone is normal firing position
- Simulated casualties in training
- Person resting between serials
- Gradual event (heat exhaustion) vs sudden collapse</t>
  </si>
  <si>
    <t>Medical Casualty Detection
IF sudden vertical-to-horizontal transition detected AND person remains stationary &gt; 10s AND context ≠ expected prone position → MEDICAL ALERT to safety officer + medical team. 
IF audio detects 'man down' call → bypass 10s wait, alert immediately. 
IF exercise phase expects prone firing → raise stationary threshold to 30s. 
Always recommend lane-specific ceasefire, not range-wide.</t>
  </si>
  <si>
    <t>UC-006, UC-004</t>
  </si>
  <si>
    <t>Visual-Primary, Audio-Enhanced</t>
  </si>
  <si>
    <t>VISUAL-PRIMARY: Fall and posture detection are visual. AUDIO-ENHANCED: 'Man down' calls and sudden silence provide secondary confirmation.</t>
  </si>
  <si>
    <t>UC-010</t>
  </si>
  <si>
    <t>Unsafe Weapon Handling Behaviour Pattern Detection</t>
  </si>
  <si>
    <t>Identifies accumulated patterns of unsafe behaviour over time - repeated muzzle sweeps, finger on trigger while not firing, weapon manipulation during briefings. Trend indicates intervention needed.</t>
  </si>
  <si>
    <t>Identify individuals developing unsafe habits before an incident occurs.</t>
  </si>
  <si>
    <t>Aggregation of detections from UC-001, UC-008, UC-005 over time per individual. Statistical pattern analysis.</t>
  </si>
  <si>
    <t>1) Minor violations per individual per session
2) Trend over multiple sessions
3) Correlation between patterns and incident proximity
4) False pattern rate</t>
  </si>
  <si>
    <t>Flagged report to safety officer with evidence. Recommendation for remedial training.
By default: If no external system integration is needed, it will then route the notification and alert to Accel.</t>
  </si>
  <si>
    <t>Anecdotal - no systematic tracking.</t>
  </si>
  <si>
    <t>- New trainees expected to have more violations
- Cultural differences between units
- Pattern window: how far back to look?
- Privacy/fairness concerns</t>
  </si>
  <si>
    <t>P2 - Medium</t>
  </si>
  <si>
    <t>Unsafe Weapon Handling Behaviour Pattern
Aggregate violations from UC-001, UC-005, UC-008 per individual per session. 
IF minor violations ≥ 3 in single session → INTERVENTION ADVISORY to safety officer. 
IF violations trending upward across sessions (≥2 consecutive sessions above baseline) → REMEDIAL TRAINING recommendation. 
Weight recent violations higher. Exclude first-session trainees from trend analysis (learning curve allowance).</t>
  </si>
  <si>
    <t>UC-001, UC-008, UC-005</t>
  </si>
  <si>
    <t>Meta-analysis of visual detections aggregated over time. No audio needed.</t>
  </si>
  <si>
    <t xml:space="preserve">  GROUP B: VEHICLE &amp; MOUNTED SYSTEMS</t>
  </si>
  <si>
    <t>UC-011</t>
  </si>
  <si>
    <t>B</t>
  </si>
  <si>
    <t>Vehicle &amp; Mounted Systems</t>
  </si>
  <si>
    <t>Vehicle Turret Orientation Safety Monitoring</t>
  </si>
  <si>
    <t>Tracks turret/gun barrel direction and detects traversal into restricted arc - toward friendly positions, infrastructure, or adjacent lanes.</t>
  </si>
  <si>
    <t>Vehicle-mounted weapons engage at greater range - unsafe arcs have larger consequences.</t>
  </si>
  <si>
    <t>Vehicle detection + turret/barrel angle estimation relative to vehicle heading + safe arc overlay based on position.</t>
  </si>
  <si>
    <t>1) Turret angle accuracy
2) Time in restricted arc
3) Alert latency
4) Accuracy across vehicle types</t>
  </si>
  <si>
    <t>Alert to vehicle crew and range control. Turret orientation overlay on range map.</t>
  </si>
  <si>
    <t>External safety officer from observation tower - limited angle, fatigue.</t>
  </si>
  <si>
    <t>- Turret sweeps restricted arc during target acquisition
- Moving vehicle changes safe arcs continuously
- Dust/smoke obscures turret
- Multiple vehicles with overlapping arcs</t>
  </si>
  <si>
    <t>UC-012</t>
  </si>
  <si>
    <t>Turret/barrel orientation is a clearly visible geometric feature. Fully visual.</t>
  </si>
  <si>
    <t>Vehicle Breach of Designated Movement Corridor</t>
  </si>
  <si>
    <t>Detects vehicle deviation from designated route or lane. Vehicles straying risk entering impact areas or other active lanes.</t>
  </si>
  <si>
    <t>Vehicles move fast and take longer to stop - early deviation detection is critical.</t>
  </si>
  <si>
    <t>Vehicle detection + tracking + geofenced corridor overlay.</t>
  </si>
  <si>
    <t>1) Distance of deviation
2) Speed at deviation
3) Duration outside corridor
4) Direction (toward impact area = higher severity)</t>
  </si>
  <si>
    <t>Alert to vehicle crew and range control with predicted path.</t>
  </si>
  <si>
    <t>Observation tower spots deviation and radios - often after significant deviation.</t>
  </si>
  <si>
    <t>- Curves cause natural swing wide
- Dust cloud obscures position
- Multiple vehicles - which deviated?
- Corridor not physically marked</t>
  </si>
  <si>
    <t>UC-011, UC-015</t>
  </si>
  <si>
    <t>Vehicle tracking against geofenced boundaries is standard visual analytics.</t>
  </si>
  <si>
    <t>UC-013</t>
  </si>
  <si>
    <t>Crew Exposure During Vehicle Live-Fire</t>
  </si>
  <si>
    <t>Detects personnel with body parts exposed from hatches during vehicle weapon firing when crew should be buttoned up.</t>
  </si>
  <si>
    <t>Exposed crew during vehicle firing risk injury from blast, casings, or return fire.</t>
  </si>
  <si>
    <t>Human presence detection at hatch positions during firing events. Classify: closed, partially open, head exposed, torso exposed.</t>
  </si>
  <si>
    <t>1) Exposure classification accuracy
2) Correlation with firing events
3) False positives from hatch-mounted equipment
4) Detection at range</t>
  </si>
  <si>
    <t>Alert to vehicle commander and range control.</t>
  </si>
  <si>
    <t>External safety staff from distance - very difficult to see hatch status from towers.</t>
  </si>
  <si>
    <t>- Commander legitimately observing between serials
- Hatch open for ventilation, no person exposed
- Camera can't see far-side hatches
- Vehicle at distance reduces resolution</t>
  </si>
  <si>
    <t>UC-011, UC-004</t>
  </si>
  <si>
    <t>Human body detection at hatch openings is visual.</t>
  </si>
  <si>
    <t>UC-014</t>
  </si>
  <si>
    <t>Vehicle-Dismount Safety Proximity Detection</t>
  </si>
  <si>
    <t>Monitors proximity of dismounted personnel to vehicles during combined arms exercises. Detects soldiers within vehicle danger zones.</t>
  </si>
  <si>
    <t>Personnel near vehicles during live-fire or maneuver are at risk from blast, movement, and turret rotation.</t>
  </si>
  <si>
    <t>Person detection + vehicle detection + proximity measurement + danger zone modeling.</t>
  </si>
  <si>
    <t>1) Minimum person-vehicle distance
2) Time in danger zone
3) Context: vehicle stationary vs moving, firing vs not
4) Alert response time</t>
  </si>
  <si>
    <t>Alert to vehicle crew and dismounted personnel via safety officer.</t>
  </si>
  <si>
    <t>Verbal safety briefs and buddy checks - relies on individual awareness.</t>
  </si>
  <si>
    <t>- Designated mount/dismount points require proximity
- Infantry using vehicle as cover
- Vehicle reversing into dismounted position
- Danger zone changes with turret rotation</t>
  </si>
  <si>
    <t>UC-006, UC-011</t>
  </si>
  <si>
    <t>Person-vehicle proximity is spatial measurement from visual detection.</t>
  </si>
  <si>
    <t>UC-015</t>
  </si>
  <si>
    <t>Vehicle Speed Estimation on Range Roads</t>
  </si>
  <si>
    <t>Estimates vehicle speed from video and flags speed limit exceedances. Speeding is a common cause of non-combat training injuries.</t>
  </si>
  <si>
    <t>Enforce speed limits on range roads to prevent vehicle accidents.</t>
  </si>
  <si>
    <t>Vehicle tracking + calibrated camera geometry + speed from displacement over time.</t>
  </si>
  <si>
    <t>1) Speed estimation accuracy (±km/h)
2) False positive rate from parallax
3) Consistency across camera angles
4) Performance in poor visibility</t>
  </si>
  <si>
    <t>Speed alert to range control. Logged for pattern analysis.</t>
  </si>
  <si>
    <t>Occasional speed gun checks - infrequent, not continuous.</t>
  </si>
  <si>
    <t>- Oblique angles distort distance estimation
- Dust trail obscures vehicle centroid
- Convoy vehicles close together confuse tracking
- Calibration drift from camera movement</t>
  </si>
  <si>
    <t>Speed estimation from calibrated video is mature visual analytics.</t>
  </si>
  <si>
    <t xml:space="preserve">  GROUP C: FORMATION &amp; GROUP BEHAVIOUR</t>
  </si>
  <si>
    <t>UC-016</t>
  </si>
  <si>
    <t>C</t>
  </si>
  <si>
    <t>Formation &amp; Group Behaviour</t>
  </si>
  <si>
    <t>Assault Formation Spacing Violation</t>
  </si>
  <si>
    <t>Monitors spacing between individuals in tactical formations. Flags when spacing falls outside prescribed standards - too tight or too spread.</t>
  </si>
  <si>
    <t>Correct spacing is both tactical skill and safety requirement during live-fire movement.</t>
  </si>
  <si>
    <t>Multi-person detection + inter-person distance measurement + exercise-defined standards.</t>
  </si>
  <si>
    <t>1) Average spacing vs standard
2) Min/max deviations
3) Duration of violations
4) Consistently non-compliant individuals</t>
  </si>
  <si>
    <t>Training feedback spacing heatmap. Real-time alert only if spacing creates safety risk.</t>
  </si>
  <si>
    <t>Instructor observation - subjective, can only watch part of formation.</t>
  </si>
  <si>
    <t>- Terrain forces temporary spacing changes
- Formation type changes mid-exercise
- Smoke/dust reduces visibility
- Overlapping personnel from camera angle</t>
  </si>
  <si>
    <t>Inter-person distance measurement is straightforward visual analytics.</t>
  </si>
  <si>
    <t>UC-018</t>
  </si>
  <si>
    <t>Group Bunching Detection at Chokepoints</t>
  </si>
  <si>
    <t>Detects too many personnel clustering in confined area - doorways, corridors, breach points. Creates tactical failure and real safety risk.</t>
  </si>
  <si>
    <t>Clustered personnel are vulnerable and create weapon safety risks in confined spaces.</t>
  </si>
  <si>
    <t>Person density measurement in defined chokepoint zones. Threshold based on zone dimensions and exercise type.</t>
  </si>
  <si>
    <t>1) Person count in zone vs maximum
2) Duration of bunching
3) Location frequency (which chokepoints)
4) Correlation with exercise phase</t>
  </si>
  <si>
    <t>Alert to exercise controller. Training feedback for AAR.</t>
  </si>
  <si>
    <t>Instructor from outside building - no visibility into chokepoints.</t>
  </si>
  <si>
    <t>- Controlled stack formation before entry is intentional
- Brief transit vs lingering
- Camera placement in narrow spaces
- Low indoor light</t>
  </si>
  <si>
    <t>UC-006, UC-021</t>
  </si>
  <si>
    <t>Density counting in a defined zone is visual.</t>
  </si>
  <si>
    <t>UC-019</t>
  </si>
  <si>
    <t>Friendly Force Crossing Into Opposing Force Zone</t>
  </si>
  <si>
    <t>In force-on-force exercises, tracks two forces and detects boundary violations - individual from one force enters opposing zone unexpectedly.</t>
  </si>
  <si>
    <t>Boundary violations can lead to unplanned close-range engagements.</t>
  </si>
  <si>
    <t>Force identification via visual markers (armbands, helmet bands, IR markers) + zone overlay + crossing detection.</t>
  </si>
  <si>
    <t>1) Force marker detection accuracy
2) Boundary crossing frequency
3) Depth of penetration
4) Speed of crossing</t>
  </si>
  <si>
    <t>Alert to exercise controller and safety staff. Potential exercise pause.</t>
  </si>
  <si>
    <t>Umpires at boundaries - limited coverage.</t>
  </si>
  <si>
    <t>- Markers become dirty/obscured
- Prisoners or role-players crossing legitimately
- Boundary is tactical, not physical
- Night exercises: visual markers not visible (need IR)</t>
  </si>
  <si>
    <t>UC-006, UC-043</t>
  </si>
  <si>
    <t>Force identification via visual markers and zone detection are visual. IR markers still visual spectrum.</t>
  </si>
  <si>
    <t>UC-020</t>
  </si>
  <si>
    <t>Observer/Visitor Proximity to Active Exercise</t>
  </si>
  <si>
    <t>Monitors designated observers, VIPs, or media who must stay in observation areas. Detects drift toward active areas.</t>
  </si>
  <si>
    <t>Non-participants lack tactical training to understand when they're in danger.</t>
  </si>
  <si>
    <t>Person detection in observation area + drift tracking. Observers may wear high-vis markers.</t>
  </si>
  <si>
    <t>1) Distance from observation boundary
2) Drift speed and direction
3) Time outside designated area
4) Correlation with exercise intensity</t>
  </si>
  <si>
    <t>Alert to escort / safety officer.</t>
  </si>
  <si>
    <t>Assigned escort watches - can be distracted with large groups.</t>
  </si>
  <si>
    <t>- Authorised movement to different observation point
- Observer stepping out for phone call
- Media with telephoto lenses seeking angles
- VIPs who outrank escort and insist on moving closer</t>
  </si>
  <si>
    <t>UC-006, UC-002</t>
  </si>
  <si>
    <t>Person tracking in/near zones is standard visual analytics.</t>
  </si>
  <si>
    <t xml:space="preserve">  GROUP D: URBAN OPERATIONS (MOUT)</t>
  </si>
  <si>
    <t>UC-021</t>
  </si>
  <si>
    <t>D</t>
  </si>
  <si>
    <t>Urban Operations (MOUT)</t>
  </si>
  <si>
    <t>Room Clearing Sequence Deviation Detection</t>
  </si>
  <si>
    <t>Tracks movement sequence within rooms during clearing. Flags deviations: missed corners, back-turning to uncleared areas, bunching at doorway.</t>
  </si>
  <si>
    <t>Correct room clearing is both survival skill and safety requirement with live/blank rounds.</t>
  </si>
  <si>
    <t>Multi-person indoor tracking + movement vector analysis within room geometry vs expected sequence.</t>
  </si>
  <si>
    <t>1) Sequence completion percentage
2) Steps skipped or out of order
3) Time per room vs standard
4) Specific deviations by type</t>
  </si>
  <si>
    <t>Post-exercise training feedback room-by-room. Real-time alert for safety-critical deviations only.</t>
  </si>
  <si>
    <t>Instructor from hallway - limited angle, one room at a time.</t>
  </si>
  <si>
    <t>- Room layouts vary (furniture, obstacles)
- Dynamic situations require sequence adaptation
- Smoke/flashbang effects obscure camera
- Low indoor lighting</t>
  </si>
  <si>
    <t>UC-006, UC-018</t>
  </si>
  <si>
    <t>VISUAL-PRIMARY: Movement and sequence are visual. AUDIO-ENHANCED: Verbal callouts ('clear left', 'room clear') are integral to the drill.</t>
  </si>
  <si>
    <t>UC-023</t>
  </si>
  <si>
    <t>Weapon Discharge in Non-Authorized MOUT Zone</t>
  </si>
  <si>
    <t>Detects firing activity in rooms/floors designated as no-fire zones - role-player areas, structural damage risk areas.</t>
  </si>
  <si>
    <t>No-fire zones protect role-players and infrastructure. Any discharge is a serious safety failure.</t>
  </si>
  <si>
    <t>Muzzle flash detection (more visible indoors) + ACOUSTIC GUNSHOT DETECTION essential for blank rounds.</t>
  </si>
  <si>
    <t>1) Detection confidence (visual vs acoustic vs confirmed)
2) Location within building (room-level)
3) Correlation with exercise phase
4) Attribution if possible</t>
  </si>
  <si>
    <t>Immediate exercise halt for affected building.</t>
  </si>
  <si>
    <t>Role-players report hearing shots - delayed, sometimes inaccurate.</t>
  </si>
  <si>
    <t>- Blank rounds: flash but no recoil - hard to detect visually
- Indoor echoes complicate acoustic localization
- Door slams / simulators mimic gunshots
- Flashbang flash vs weapon discharge</t>
  </si>
  <si>
    <t>UC-004, UC-025</t>
  </si>
  <si>
    <t>AUDIO ESSENTIAL indoors. Blank rounds produce minimal visual signature. Acoustic detection reliably captures the report.</t>
  </si>
  <si>
    <t>UC-024</t>
  </si>
  <si>
    <t>Stairwell and Elevation Transition Safety Monitoring</t>
  </si>
  <si>
    <t>Monitors personnel moving between floors with weapons - unsafe muzzle direction, trips/falls, formation breakdowns in vertical transitions.</t>
  </si>
  <si>
    <t>Stairwells are high-risk for accidental muzzle sweeps and falls with loaded weapons.</t>
  </si>
  <si>
    <t>Indoor person tracking + weapon orientation estimation in constrained vertical space.</t>
  </si>
  <si>
    <t>1) Muzzle violations during stairwell movement
2) Falls or stumbles
3) Formation spacing on stairs
4) Camera coverage quality</t>
  </si>
  <si>
    <t>Alert for muzzle violations. Training feedback. Safety alert for falls.</t>
  </si>
  <si>
    <t>No monitoring - stairwells typically unobserved.</t>
  </si>
  <si>
    <t>- Severe occlusion from tight angles
- Weapon position changes rapidly
- Low/variable lighting
- Brief transit time</t>
  </si>
  <si>
    <t>UC-001, UC-006</t>
  </si>
  <si>
    <t>Muzzle direction and fall detection are visual. Challenging camera placement but detection itself needs no audio.</t>
  </si>
  <si>
    <t>UC-025</t>
  </si>
  <si>
    <t>Non-Combatant / Role-Player Safety in MOUT</t>
  </si>
  <si>
    <t>Tracks role-players (civilians, hostages) and monitors proximity to weapon activity. Detects engagement toward role-players or role-players leaving safe positions.</t>
  </si>
  <si>
    <t>Role-players are real people in a live/blank-fire environment - safety is paramount.</t>
  </si>
  <si>
    <t>Role-player identification via visual markers + proximity tracking to weapon activity + engagement direction detection.</t>
  </si>
  <si>
    <t>1) Min distance between role-player and weapon activity
2) Engagement vectors crossing role-player positions
3) Role-player position stability
4) Time in unplanned proximity</t>
  </si>
  <si>
    <t>Immediate alert if engagement directed near role-player. Exercise pause if role-player moves to danger.</t>
  </si>
  <si>
    <t>Role-player self-reports feeling unsafe - after the fact.</t>
  </si>
  <si>
    <t>- Markers become obscured
- Role-player panics and moves unpredictably
- Scenario requires role-player near the action
- Distinguishing 'near' vs 'at' engagement</t>
  </si>
  <si>
    <t>UC-006, UC-001, UC-004</t>
  </si>
  <si>
    <t>VISUAL-PRIMARY: Role-player tracking via markers is visual. AUDIO-ENHANCED: Gunshot detection confirms blank fire near role-players.</t>
  </si>
  <si>
    <t xml:space="preserve">  GROUP E: ENVIRONMENT &amp; INFRASTRUCTURE</t>
  </si>
  <si>
    <t>UC-026</t>
  </si>
  <si>
    <t>E</t>
  </si>
  <si>
    <t>Environment &amp; Infrastructure</t>
  </si>
  <si>
    <t>Range Flag/Signal Status Detection</t>
  </si>
  <si>
    <t>Reads visual status of range flags, signal lights, indicator boards and cross-references against range control system. Detects mismatches.</t>
  </si>
  <si>
    <t>Mismatch between declared status and physical indicators means someone acts on wrong information.</t>
  </si>
  <si>
    <t>Colour/state classification of flags and lights + range control system data comparison.</t>
  </si>
  <si>
    <t>1) Classification accuracy
2) Mismatch detection latency
3) False positives from lighting conditions
4) All flag positions covered by cameras</t>
  </si>
  <si>
    <t>Immediate alert showing which indicator mismatches. Block status changes until visual confirmation.</t>
  </si>
  <si>
    <t>Range control declares status and trusts flags are changed - no verification.</t>
  </si>
  <si>
    <t>- Faded/dirty flags shift colour
- Backlighting makes colour ambiguous
- Wind wraps flag around pole
- Signal lights malfunction</t>
  </si>
  <si>
    <t>UC-004, UC-002</t>
  </si>
  <si>
    <t>Colour classification of fixed objects is basic visual analytics.</t>
  </si>
  <si>
    <t>UC-027</t>
  </si>
  <si>
    <t>Downrange Intrusion Detection (Non-Exercise)</t>
  </si>
  <si>
    <t>Outside active exercise windows, monitors for human, vehicle, or animal activity in impact areas and danger zones.</t>
  </si>
  <si>
    <t>Impact areas contain UXO and are dangerous even when no firing occurs.</t>
  </si>
  <si>
    <t>Person/vehicle/animal detection in geofenced zones during non-active periods. 24/7 including IR/thermal.</t>
  </si>
  <si>
    <t>1) Detection rate by entity type
2) False positive rate (wildlife)
3) Human vs animal classification accuracy
4) Night/low-light performance</t>
  </si>
  <si>
    <t>Alert to range control and security. Graduated: animal=log, human=investigate, vehicle=urgent.</t>
  </si>
  <si>
    <t>Periodic foot patrols and closure signs - large areas, infrequent coverage.</t>
  </si>
  <si>
    <t>- Wildlife triggers
- Heat shimmer phantoms
- Authorised maintenance not logged
- Terrain obscures ground-level movement</t>
  </si>
  <si>
    <t>UC-002, UC-039</t>
  </si>
  <si>
    <t>Perimeter intrusion detection from video is mature. IR/thermal extends to night.</t>
  </si>
  <si>
    <t>UC-028</t>
  </si>
  <si>
    <t>Weather/Visibility Degradation Detection</t>
  </si>
  <si>
    <t>Monitors visibility from camera feeds - fog, dust, smoke, rain. Flags when visibility drops below exercise threshold.</t>
  </si>
  <si>
    <t>Reduced visibility changes the safety calculus for different exercise types.</t>
  </si>
  <si>
    <t>Image quality metrics: contrast ratio, edge detection, visibility distance from known reference points.</t>
  </si>
  <si>
    <t>1) Visibility distance accuracy
2) Degradation trend
3) Type (fog vs dust vs smoke)
4) Per-camera status (may be localised)</t>
  </si>
  <si>
    <t>Alert to range control with assessment. Recommendation to pause/modify if below threshold.</t>
  </si>
  <si>
    <t>Subjective officer assessment - no objective measurement.</t>
  </si>
  <si>
    <t>- Localised dust vs general fog
- Temporary pyro smoke vs persistent weather
- Lens contamination mimics fog
- Sun glare mistaken for haze</t>
  </si>
  <si>
    <t>UC-043, UC-040</t>
  </si>
  <si>
    <t>Visibility assessment from image analysis is well-established.</t>
  </si>
  <si>
    <t>UC-029</t>
  </si>
  <si>
    <t>Target Area Condition Monitoring</t>
  </si>
  <si>
    <t>Monitors target arrays - detecting fallen, destroyed, moved, or obscured targets. Flags when state doesn't match expected configuration.</t>
  </si>
  <si>
    <t>Wrong target state means firers may engage wrong area or not engage - safety risk.</t>
  </si>
  <si>
    <t>Target detection + state classification (up/down/damaged/missing) + comparison against expected config.</t>
  </si>
  <si>
    <t>1) State classification accuracy
2) Latency from change to detection
3) Coverage of target area
4) False positives from targets hit during firing (expected)</t>
  </si>
  <si>
    <t>Alert showing which targets need attention. Pre-exercise verification.</t>
  </si>
  <si>
    <t>Physical check by target operators - requires ceasefire and personnel downrange.</t>
  </si>
  <si>
    <t>- Targets hit and falling is expected
- Wind-blown vs shot targets
- Partial damage (leaning)
- Electronic pop-up targets - must track intended state</t>
  </si>
  <si>
    <t>Target detection and state classification are visual.</t>
  </si>
  <si>
    <t xml:space="preserve">  GROUP F: PRE-EXERCISE &amp; ADMINISTRATIVE</t>
  </si>
  <si>
    <t>UC-031</t>
  </si>
  <si>
    <t>F</t>
  </si>
  <si>
    <t>Pre-Exercise &amp; Administrative</t>
  </si>
  <si>
    <t>PPE Compliance Detection</t>
  </si>
  <si>
    <t>Verifies all personnel on firing line wearing required PPE - ear protection, eye protection, helmet, body armour.</t>
  </si>
  <si>
    <t>PPE prevents non-combat injuries from noise, debris, and ricochet.</t>
  </si>
  <si>
    <t>Object detection on person: ear muffs, eyewear, helmet, body armour.</t>
  </si>
  <si>
    <t>1) Detection accuracy per PPE type
2) Known limitations (ear plugs invisible)
3) False positives (sunglasses vs ballistic eyewear)
4) Verified before firing commences</t>
  </si>
  <si>
    <t>Alert listing non-compliant personnel and missing PPE.</t>
  </si>
  <si>
    <t>Visual check by safety officer - can miss items with many firers.</t>
  </si>
  <si>
    <t>- Ear plugs nearly invisible
- Ballistic eyewear vs sunglasses
- PPE worn improperly (helmet unbuckled, eyewear on forehead)
- Body armour under uniform is invisible</t>
  </si>
  <si>
    <t>PPE with distinct silhouettes is visually detectable. Known limitation: ear plugs and concealed items.</t>
  </si>
  <si>
    <t>UC-032</t>
  </si>
  <si>
    <t>Range Briefing Attendance Verification</t>
  </si>
  <si>
    <t>Headcount and presence verification during mandatory safety briefings. Detects late arrivals, early departures, absentees.</t>
  </si>
  <si>
    <t>All firers must attend brief - anyone firing without attending is a safety risk.</t>
  </si>
  <si>
    <t>Person counting in briefing area + duration tracking + manifest comparison.</t>
  </si>
  <si>
    <t>1) Headcount accuracy vs manifest
2) Attendance duration per individual
3) Late arrival detection
4) Early departure detection</t>
  </si>
  <si>
    <t>Attendance log with timestamps. Alert for discrepancies before firing.</t>
  </si>
  <si>
    <t>Sign-in sheet - easily gamed, no duration verification.</t>
  </si>
  <si>
    <t>- People at back of briefing area
- Open area vs confined room
- Brief toilet break and return
- Multiple briefings for different serials</t>
  </si>
  <si>
    <t>UC-006, UC-035</t>
  </si>
  <si>
    <t>Headcount and presence tracking are standard visual analytics.</t>
  </si>
  <si>
    <t>UC-033</t>
  </si>
  <si>
    <t>Weapon Assembly/Disassembly Area Monitoring</t>
  </si>
  <si>
    <t>Monitors weapon preparation areas for unsafe practices: muzzle violations during assembly, pointing at others, loading in non-designated areas.</t>
  </si>
  <si>
    <t>Preparation areas are where distracted handling mistakes happen most.</t>
  </si>
  <si>
    <t>Weapon detection + muzzle direction tracking + activity zone enforcement.</t>
  </si>
  <si>
    <t>1) Muzzle violations in preparation area
2) Loading outside designated zone
3) Violation rate comparison between units
4) Time-of-day patterns (fatigue)</t>
  </si>
  <si>
    <t>Alert to safety supervisor. Unit performance feedback.</t>
  </si>
  <si>
    <t>Occasional safety officer walk-through - snapshot, not continuous.</t>
  </si>
  <si>
    <t>- Disassembly means muzzle direction ambiguous
- Cleaning involves pointing in various directions
- Crowded and occluded areas
- Training vs live weapons look identical</t>
  </si>
  <si>
    <t>UC-001, UC-008</t>
  </si>
  <si>
    <t>Muzzle direction and zone detection are visual analytics.</t>
  </si>
  <si>
    <t>UC-034</t>
  </si>
  <si>
    <t>Ammunition Handling Area Safety Monitoring</t>
  </si>
  <si>
    <t>Monitors ammunition points for unsafe handling: dropping, incorrect container handling, unauthorised personnel.</t>
  </si>
  <si>
    <t>Ammunition handling errors can cause injury or loss.</t>
  </si>
  <si>
    <t>Activity recognition in ammo area + person authorization + handling anomaly detection.</t>
  </si>
  <si>
    <t>1) Unauthorised person detections
2) Dropping/mishandling events
3) Container exposure duration
4) Personnel count vs authorised</t>
  </si>
  <si>
    <t>Alert to ammunition NCO and safety officer.</t>
  </si>
  <si>
    <t>Ammunition NCO supervises - single point of failure.</t>
  </si>
  <si>
    <t>- Authorised vs unauthorised personnel distinction
- Dropping vs setting down firmly
- Ammunition in pockets (invisible)
- Temporary field ammo points (no fixed camera)</t>
  </si>
  <si>
    <t>Activity recognition and zone-based tracking are visual.</t>
  </si>
  <si>
    <t>UC-035</t>
  </si>
  <si>
    <t>Range Access Point Entry/Exit Logging</t>
  </si>
  <si>
    <t>Logs every person and vehicle entering/exiting. Detects tailgating, non-stopping vehicles, reverse-direction movement.</t>
  </si>
  <si>
    <t>Accurate entry/exit logging is foundation for knowing who is on the range.</t>
  </si>
  <si>
    <t>Person/vehicle detection at access points + direction + counting + tailgate detection.</t>
  </si>
  <si>
    <t>1) Count accuracy (entry vs exit balance)
2) Tailgate detection rate
3) Vehicle stop compliance
4) Reverse direction alerts</t>
  </si>
  <si>
    <t>Automatic access log with timestamps and captures. Anomaly alerts.</t>
  </si>
  <si>
    <t>Guard manually logs - errors, missed entries, illegible records.</t>
  </si>
  <si>
    <t>- Pedestrians and vehicles at same point
- Legitimate convoys vs tailgating
- Emergency vehicles bypassing procedure
- Poor lighting or weather</t>
  </si>
  <si>
    <t>UC-006, UC-039</t>
  </si>
  <si>
    <t>Counting and direction detection at fixed points are mature visual analytics.</t>
  </si>
  <si>
    <t xml:space="preserve">  GROUP G: POST-EXERCISE &amp; INCIDENT SUPPORT</t>
  </si>
  <si>
    <t>UC-036</t>
  </si>
  <si>
    <t>G</t>
  </si>
  <si>
    <t>Post-Exercise &amp; Incident Support</t>
  </si>
  <si>
    <t>Post-Exercise Range Sweep Personnel Tracking</t>
  </si>
  <si>
    <t>Tracks sweep team coverage after firing. Verifies all required zones walked. Flags gaps before range declared safe.</t>
  </si>
  <si>
    <t>Incomplete sweep may leave casualty, UXO, or hazard undetected.</t>
  </si>
  <si>
    <t>Person tracking + path mapping + coverage overlay against required zones.</t>
  </si>
  <si>
    <t>1) Zone coverage percentage
2) Coverage gaps
3) Time per zone (too fast = superficial)
4) Sweep team count sufficient</t>
  </si>
  <si>
    <t>Coverage map for range officer. Range not safe until 100% covered.</t>
  </si>
  <si>
    <t>Self-reported completion - no thoroughness verification.</t>
  </si>
  <si>
    <t>- Terrain prevents straight-line sweep
- Team splits up
- Camera coverage gaps at range edges
- Night conditions</t>
  </si>
  <si>
    <t>UC-006, UC-045</t>
  </si>
  <si>
    <t>Person tracking and path mapping are visual analytics.</t>
  </si>
  <si>
    <t>UC-037</t>
  </si>
  <si>
    <t>Incident Replay and Timeline Reconstruction</t>
  </si>
  <si>
    <t>After safety incident, auto-identifies relevant camera feeds, synchronises them, generates multi-angle timeline.</t>
  </si>
  <si>
    <t>Accurate reconstruction prevents recurrence and supports investigations.</t>
  </si>
  <si>
    <t>Multi-camera sync + event timestamp anchoring + clip extraction + AUDIO TRACK SYNC for complete picture.</t>
  </si>
  <si>
    <t>1) Time from incident to replay available
2) Camera angles included
3) Timeline accuracy (frame-level)
4) Completeness of capture</t>
  </si>
  <si>
    <t>Multi-angle synchronised replay within minutes of incident report.</t>
  </si>
  <si>
    <t>Manual CCTV review - hours searching unsynchronised feeds.</t>
  </si>
  <si>
    <t>- Different frame rates across cameras
- Clock sync issues
- Relevant camera obstructed
- Incident spans multiple areas</t>
  </si>
  <si>
    <t>UC-004, UC-009, UC-045</t>
  </si>
  <si>
    <t>AUDIO VALUABLE. Visual provides spatial picture; audio provides timeline anchoring - gunshot timing, verbal commands, radio calls, and contextual sound.</t>
  </si>
  <si>
    <t>UC-038</t>
  </si>
  <si>
    <t>Spent Brass / Debris Detection in Safety Lanes</t>
  </si>
  <si>
    <t>Detects accumulation of spent casings and debris in walkways that could cause slips or trips.</t>
  </si>
  <si>
    <t>Brass underfoot is a real slip hazard, especially indoor ranges with concrete floors.</t>
  </si>
  <si>
    <t>Small object accumulation detection with high-res cameras. Density estimation in walkway zones.</t>
  </si>
  <si>
    <t>1) Accumulation detection accuracy
2) Density threshold calibration
3) False positives from other small objects
4) Camera resolution requirements</t>
  </si>
  <si>
    <t>Alert to maintenance. Trend data on accumulation rates.</t>
  </si>
  <si>
    <t>Visual check during breaks - often missed until someone slips.</t>
  </si>
  <si>
    <t>- Individual casings too small for standard cameras
- Brass colour blends with sandy surfaces
- Density pattern vs individual casing detection
- Indoor vs outdoor contrast</t>
  </si>
  <si>
    <t>P3 - Low</t>
  </si>
  <si>
    <t>Debris accumulation is visual, requiring higher resolution cameras.</t>
  </si>
  <si>
    <t>UC-039</t>
  </si>
  <si>
    <t>Unauthorized After-Hours Range Activity</t>
  </si>
  <si>
    <t>Monitors range outside scheduled hours. Any detected activity triggers alert.</t>
  </si>
  <si>
    <t>After-hours activity is either unauthorized training (dangerous) or criminal.</t>
  </si>
  <si>
    <t>Person/vehicle detection in IR/thermal during non-active hours. Any detection = alert.</t>
  </si>
  <si>
    <t>1) Low-light detection rate
2) False positive rate (animals)
3) Thermal classification accuracy
4) Security notification speed</t>
  </si>
  <si>
    <t>Alert to security with feed, location, classification.</t>
  </si>
  <si>
    <t>Perimeter fence and periodic patrols - large area, infrequent.</t>
  </si>
  <si>
    <t>- Wildlife common on military ranges
- Overnight maintenance not logged
- Residual heat from vehicles vs active
- Weather causing false motion triggers</t>
  </si>
  <si>
    <t>UC-027, UC-035</t>
  </si>
  <si>
    <t>Perimeter surveillance is core visual analytics. IR/thermal covers night.</t>
  </si>
  <si>
    <t>UC-040</t>
  </si>
  <si>
    <t>Fire and Smoke Detection from Range Activity</t>
  </si>
  <si>
    <t>Detects fires started by tracer rounds, pyrotechnics, or ricochets. Critical in dry conditions.</t>
  </si>
  <si>
    <t>Range fires endanger personnel, destroy infrastructure, cause environmental damage.</t>
  </si>
  <si>
    <t>Smoke detection (plume shape, colour, movement) + flame detection (colour, flicker) + growth tracking.</t>
  </si>
  <si>
    <t>1) Detection time from ignition
2) False positives (dust, exhaust, pyro effects)
3) Growth rate estimation
4) Location accuracy for response dispatch</t>
  </si>
  <si>
    <t>Immediate alert to range control and fire response with location and size estimate.</t>
  </si>
  <si>
    <t>Observation tower - limited during exercises when attention is on safety.</t>
  </si>
  <si>
    <t>- Intentional pyrotechnics vs unintended fire
- Controlled burns on adjacent land
- Vehicle dust mimicking smoke
- Small smouldering with minimal visible smoke</t>
  </si>
  <si>
    <t>Fire and smoke detection from video is mature, commercially available technology.</t>
  </si>
  <si>
    <t xml:space="preserve">  GROUP H: ADVANCED / COMPOUND</t>
  </si>
  <si>
    <t>UC-042</t>
  </si>
  <si>
    <t>H</t>
  </si>
  <si>
    <t>Advanced / Compound</t>
  </si>
  <si>
    <t>Drone/UAS Operational Safety Monitoring</t>
  </si>
  <si>
    <t>Tracks UAS within range. Detects flight corridor deviations, unsafe altitude over personnel, unauthorized presence over live-fire areas.</t>
  </si>
  <si>
    <t>UAS near live-fire are both at risk and a risk to personnel.</t>
  </si>
  <si>
    <t>Small object aerial detection + flight path tracking + geofenced corridor enforcement + ACOUSTIC DRONE DETECTION for small UAS beyond visual range.</t>
  </si>
  <si>
    <t>1) Detection range (visual vs acoustic)
2) Flight path deviation
3) Altitude accuracy from ground cameras
4) False positives (birds, debris)</t>
  </si>
  <si>
    <t>Alert to UAS operator and range control.</t>
  </si>
  <si>
    <t>UAS operator self-manages - no independent monitoring.</t>
  </si>
  <si>
    <t>- Small UAS invisible beyond 100-200m
- Birds mistaken for drones
- Multiple UAS simultaneously
- Beyond line-of-sight from cameras</t>
  </si>
  <si>
    <t>AUDIO VALUABLE. Small UAS (&lt;2kg) extremely hard to detect visually beyond 100-200m. Drone motors have distinct acoustic signatures at greater range. Audio alerts; visual confirms.</t>
  </si>
  <si>
    <t>UC-043</t>
  </si>
  <si>
    <t>Night Exercise Safety Monitoring (IR/Thermal)</t>
  </si>
  <si>
    <t>Operates in IR/thermal for night exercises. Same safety rules apply but analytics use thermal signatures.</t>
  </si>
  <si>
    <t>Safety standards don't change at night - detection capability must persist.</t>
  </si>
  <si>
    <t>Thermal person detection + weapon detection in IR + muzzle flash detection (highly visible at night) + standard zone analytics on thermal feeds.</t>
  </si>
  <si>
    <t>1) Accuracy vs daylight equivalents
2) Person count in thermal
3) Weapon state classification in IR
4) Muzzle flash sensitivity (should be higher)</t>
  </si>
  <si>
    <t>Same alert framework as daytime. Highlight any degraded capabilities.</t>
  </si>
  <si>
    <t>Night safety officers with NVDs - limited FOV, fatigue-prone.</t>
  </si>
  <si>
    <t>- Vehicle/weapon heat signatures persist after use
- Personnel blend thermally when close
- Environmental heat sources
- Rain reduces thermal contrast</t>
  </si>
  <si>
    <t>UC-001 through UC-010</t>
  </si>
  <si>
    <t>Thermal/IR is still visual analytics in different spectrum. Muzzle flash more detectable at night.</t>
  </si>
  <si>
    <t>UC-044</t>
  </si>
  <si>
    <t>Pyrotechnics / Grenade Range Safety Monitoring</t>
  </si>
  <si>
    <t>Monitors grenade/demolition ranges: personnel in blast radius, throwing errors, misfire procedures.</t>
  </si>
  <si>
    <t>Explosives are the highest consequence weapon on any training range.</t>
  </si>
  <si>
    <t>Person detection + blast zone geofencing + throw trajectory estimation + ACOUSTIC DETONATION CONFIRMATION. Visual disrupted by explosion.</t>
  </si>
  <si>
    <t>1) Personnel position at detonation moment
2) Throw error detection (short, wild)
3) Misfire detection (no detonation in expected time)
4) Camera recovery after flash/smoke
5) Audio detonation confirmation</t>
  </si>
  <si>
    <t>Alert if personnel in blast zone. Misfire protocol if no detonation. Auto-log every throw.</t>
  </si>
  <si>
    <t>Safety officer in hardened bay - limited angle, blast impairs observation.</t>
  </si>
  <si>
    <t>- Flash saturates camera 2-5s
- Smoke obscures 10-30s post-detonation
- Misfire = absence of expected event
- Thrown grenade trajectory hard to track
- Bounce-back of grenades</t>
  </si>
  <si>
    <t>AUDIO CRITICAL. Camera flash-blinded at detonation. Acoustic confirmation is definitive. Misfire detection (absence of bang) more reliable via audio.</t>
  </si>
  <si>
    <t>UC-045</t>
  </si>
  <si>
    <t>Multi-Camera Handoff for Continuous Person Tracking</t>
  </si>
  <si>
    <t>Maintains identity-agnostic tracking as individuals move across camera zones. Re-acquires and maintains track across handoffs.</t>
  </si>
  <si>
    <t>Foundation capability enabling all position-dependent use cases across large range.</t>
  </si>
  <si>
    <t>Appearance-based re-ID + spatial prediction (exit→entry) + temporal correlation.</t>
  </si>
  <si>
    <t>1) Handoff success rate
2) Track fragmentation rate
3) Re-ID accuracy with identical uniforms
4) Handoff latency</t>
  </si>
  <si>
    <t>Continuous track maintained across entire complex. Feeds UC-006 and all position use cases.</t>
  </si>
  <si>
    <t>No continuous tracking - headcounts at discrete checkpoints only.</t>
  </si>
  <si>
    <t>- Identical uniforms make re-ID very hard
- Variable time gaps between camera zones
- Groups entering/exiting together
- Appearance changes (putting on/removing gear)</t>
  </si>
  <si>
    <t>Multi-camera tracking and re-identification are visual analytics.</t>
  </si>
  <si>
    <t xml:space="preserve">  GROUP I: TRAINING QUALITY &amp; PERFORMANCE</t>
  </si>
  <si>
    <t>UC-046</t>
  </si>
  <si>
    <t>I</t>
  </si>
  <si>
    <t>Training Quality &amp; Performance</t>
  </si>
  <si>
    <t>Shooting Stance and Posture Assessment</t>
  </si>
  <si>
    <t>Evaluates firer's shooting posture - body position, weapon hold, stance width, lean, stability. Flags unsafe postures and provides training feedback.</t>
  </si>
  <si>
    <t>Poor posture reduces accuracy and increases risk of losing weapon control.</t>
  </si>
  <si>
    <t>Pose estimation (body keypoints) + weapon hold classification + stance template comparison.</t>
  </si>
  <si>
    <t>1) Posture classification accuracy
2) Deviation from ideal
3) Consistency across shots
4) Correlation with accuracy</t>
  </si>
  <si>
    <t>Post-exercise feedback per firer. Real-time alert only for unsafe postures.</t>
  </si>
  <si>
    <t>Instructor observation - subjective, 1-2 firers at a time.</t>
  </si>
  <si>
    <t>- Body armour alters correct posture
- Individual body proportions vary
- Recoil absorption changes between shots
- Uneven ground differs from flat range</t>
  </si>
  <si>
    <t>UC-008, UC-001</t>
  </si>
  <si>
    <t>Pose estimation and posture classification are core visual analytics.</t>
  </si>
  <si>
    <t>UC-047</t>
  </si>
  <si>
    <t>Reaction Time Measurement on Target Exposure</t>
  </si>
  <si>
    <t>Measures time between target appearing and first engagement. Objective performance data.</t>
  </si>
  <si>
    <t>Reaction time is key marksmanship metric - objective measurement enables fair assessment.</t>
  </si>
  <si>
    <t>Target state change detection + firing event detection. ACOUSTIC provides more precise firing timestamp.</t>
  </si>
  <si>
    <t>1) Reaction time accuracy (±ms)
2) Sync between target event and firing detection
3) Per-firer consistency
4) Session performance trend</t>
  </si>
  <si>
    <t>Objective reaction time data per firer per exposure.</t>
  </si>
  <si>
    <t>Stopwatch or electronic target - only on wired ranges.</t>
  </si>
  <si>
    <t>- Multiple firers on same target
- Position adjustment delay
- Electronic vs video timing sync
- Suppressed weapons delay audio</t>
  </si>
  <si>
    <t>UC-008, UC-004</t>
  </si>
  <si>
    <t>VISUAL-PRIMARY: Target exposure is visual. AUDIO-ENHANCED: Acoustic shot timing resolves to ms vs ±33ms from video at 30fps.</t>
  </si>
  <si>
    <t>UC-048</t>
  </si>
  <si>
    <t>Communication Gesture Recognition</t>
  </si>
  <si>
    <t>Recognises standard military hand signals - halt, move, enemy spotted, rally, cease fire. Assesses whether recipients responded.</t>
  </si>
  <si>
    <t>Hand signals are critical tactical skill - video enables objective assessment at scale.</t>
  </si>
  <si>
    <t>Hand/arm pose recognition + gesture classification + recipient response tracking.</t>
  </si>
  <si>
    <t>1) Gesture accuracy per signal type
2) False positives from general arm movement
3) Response correlation
4) Signal clarity assessment</t>
  </si>
  <si>
    <t>Training feedback on signal quality and team response.</t>
  </si>
  <si>
    <t>Instructor from one vantage point - misses most signals.</t>
  </si>
  <si>
    <t>- Signals while moving (distorted)
- Unit cultural variations
- Partial signals behind cover
- Verbal acknowledgment instead of physical</t>
  </si>
  <si>
    <t>UC-006, UC-016</t>
  </si>
  <si>
    <t>VISUAL-PRIMARY: Gesture recognition is visual. AUDIO-ENHANCED: Verbal acknowledgments ('roger', 'moving') complete the communication assessment.</t>
  </si>
  <si>
    <t>UC-049</t>
  </si>
  <si>
    <t>Tactical Bound Timing and Coordination Assessment</t>
  </si>
  <si>
    <t>Tracks fire-and-movement timing - when each person moves, exposure duration, whether covering fire is provided.</t>
  </si>
  <si>
    <t>Fire-and-movement is fundamental - video can objectively assess coordination.</t>
  </si>
  <si>
    <t>Multi-person movement tracking + state classification + ACOUSTIC FIRING DETECTION for covering fire confirmation.</t>
  </si>
  <si>
    <t>1) Bound timing (exposure per person)
2) Covering fire overlap
3) Pair/team sync quality
4) Movement speed/distance</t>
  </si>
  <si>
    <t>Coordination assessment per pair/team. Timing diagram for AAR.</t>
  </si>
  <si>
    <t>Instructor from single point - misses detail, subjective.</t>
  </si>
  <si>
    <t>- Covering fire with blanks - minimal visual signature
- Dead ground movement out of view
- Multiple simultaneous pairs
- Terrain overrides standard drill</t>
  </si>
  <si>
    <t>UC-006, UC-016, UC-004</t>
  </si>
  <si>
    <t>VISUAL-PRIMARY: Movement tracking is visual. AUDIO-ENHANCED: Detecting covering fire (esp. blank rounds) via audio is far more reliable.</t>
  </si>
  <si>
    <t>UC-050</t>
  </si>
  <si>
    <t>After-Action Review Automated Highlight Generation</t>
  </si>
  <si>
    <t>Auto-identifies and tags key exercise moments: first contact, casualties, decisions, safety violations. Generates multi-angle highlight reel.</t>
  </si>
  <si>
    <t>AARs are the primary learning mechanism - auto highlights cut prep from hours to minutes.</t>
  </si>
  <si>
    <t>Event aggregation from all active use cases + significance scoring + multi-camera clip extraction + AUDIO for verbal context.</t>
  </si>
  <si>
    <t>1) Highlight relevance accuracy
2) Coverage of significant events
3) Time from exercise end to availability
4) Multi-angle + audio sync quality</t>
  </si>
  <si>
    <t>Tagged highlight package with multi-angle clips and audio. Browsable by event/time/location.</t>
  </si>
  <si>
    <t>Manual review and clip extraction - hours of work, inconsistent.</t>
  </si>
  <si>
    <t>- Defining 'significant' algorithmically
- Exercise-specific significance
- Privacy of individual performance
- Storage/processing requirements</t>
  </si>
  <si>
    <t>UC-037, UC-004, UC-009</t>
  </si>
  <si>
    <t>AUDIO VALUABLE. Visual provides events; verbal commands and radio traffic are essential context for meaningful AAR.</t>
  </si>
  <si>
    <t xml:space="preserve">  GROUP J: SWT WEAPONS</t>
  </si>
  <si>
    <t>UC-051</t>
  </si>
  <si>
    <t>J</t>
  </si>
  <si>
    <t>SWT Weapons</t>
  </si>
  <si>
    <t>Weapon Visibility Rule (Consolidated)</t>
  </si>
  <si>
    <t>Consolidated policy covering all scenarios where a weapon disappears from view within the detection zone. Handles three sub-scenarios based on person count at disappearance: (A) no person present, (B) one person — weapon taken out of frame or occluded, (C) multiple persons present. Merges original Policies 1, 2, and 3.</t>
  </si>
  <si>
    <t>Ensure any weapon that is no longer visible triggers a timely alert once all associated persons have cleared the detection zone.</t>
  </si>
  <si>
    <t>Weapon-shaped object classifier loses confirmed detection (absent ≥3 consecutive frames). Person-detection classifier tracks associated individuals in the zone. T1 and T2 timers govern alert timing based on person presence state.</t>
  </si>
  <si>
    <t>1) Weapon visibility state (visible / occluded / out-of-frame)
2) Associated person count in detection zone
3) T1 timer state (countdown after zone is clear)
4) T2 timer state (grace period while person remains)
5) Weapon reappearance events (timer reset trigger)</t>
  </si>
  <si>
    <t>Alert triggered after T1 expires once all associated persons have left and weapon remains unseen. If weapon reappears before T1 expires, all timers reset and no alert is issued.</t>
  </si>
  <si>
    <t>Manual observation. No automated tracking of weapon visibility state or person-presence changes.</t>
  </si>
  <si>
    <t>- Weapon occluded by passing non-associated person
- Person re-enters zone after T1 has started
- Weapon reappears briefly then disappears again (reset-restart cycle)
- Multiple persons leaving at different times</t>
  </si>
  <si>
    <t>Draft</t>
  </si>
  <si>
    <t xml:space="preserve">
IF weapon not visible AND 0 persons → start T1 (Weapon {Weapon_id} Missing) → alert.
IF weapon not visible AND 1 person near → start T2 (Weapon {Weapon_id} Occluded by Person {Person_id) → alert.
IF weapon not visible AND 1 person far → start T1(Weapon  {Weapon_id} Taken  by Person {Person_id)) → alert.
IF weapon not visible AND 2+ persons → priority rules:
   ANY person far → T1 (Weapon  {Weapon_id} Taken  by Person {Person_id))
   All 2+ persons near → T2 (Weapon {Weapon_id} Occluded by Person {Person_id))
   1 near, 0 far → T2 (Weapon {Weapon_id} Occluded by Person {Person_id))
   All left ROI → T1(Weapon {Weapon_id} Taken by Person {Person_id))
IF weapon reappears before window expiry → reset all timers, no alert.
</t>
  </si>
  <si>
    <t xml:space="preserve">
Need to detect the object first and when a weapon detection disappears, the policy walks every LOCKED person and measures:
  distance = center_of_person_box → center_of_weapon's_last_known_position
Then classifies:
  • distance ≤ NEAR_DISTANCE_PX (200 px) → 'near'   → contributes to near_count
  • distance &gt; NEAR_DISTANCE_PX (200 px) → 'far'    → contributes to far_count
  • no locked persons in ROI at all     → 'none' 
</t>
  </si>
  <si>
    <t>Configuration:
  "WEAPON_CONFIDENCE_THRESHOLD": 0.80
      Minimum YOLO confidence for a weapon detection to count.
      Lower = more sensitive (more false positives). Higher = miss small/blurry weapons.
  "PERSON_CONFIDENCE_THRESHOLD": 0.80
      Minimum YOLO confidence for a person detection to count.
  "T1_DURATION_THRESHOLD": 2.0
      Seconds to wait before firing an URGENT alert.
      Used by: Missing, Taken, Boundary Violation (UC-052 uses 0s = immediate).
  "T2_DURATION_THRESHOLD": 5.0
      Seconds to wait before firing a WARNING alert (longer grace period).
      Used by: Occluded scenarios (person standing near weapon).
  "NEAR_DISTANCE_PX": 200
      THE KEY DISTANCE FOR UC-051.
      Pixel radius around the weapon's last-known position.
      Person within this distance = 'near' (occluded → T2).
      Person beyond this distance = 'far' (taken → T1).</t>
  </si>
  <si>
    <t>Weapon and person detection are fully visual. No audio input required.</t>
  </si>
  <si>
    <t>Policy - UC-051</t>
  </si>
  <si>
    <t>UC-052</t>
  </si>
  <si>
    <t>Weapon Boundary Violation (Consolidated)</t>
  </si>
  <si>
    <t>Consolidated policy for all scenarios where a weapon crosses a restricted zone boundary, regardless of whether a person is carrying it. Person presence is captured as context but does not affect alert timing — alert is always immediate.</t>
  </si>
  <si>
    <t>Ensure any weapon leaving its authorised zone is immediately flagged — whether carried, thrown, kicked, or otherwise moved across the boundary.</t>
  </si>
  <si>
    <t>Weapon-shaped object trajectory crosses a defined restricted zone boundary line or polygon edge. Requires weapon tracked inside zone before crossing. Boundary definitions pre-loaded per exercise/zone configuration.</t>
  </si>
  <si>
    <t>1) Weapon position relative to zone boundary (inside / crossing / outside)
2) Weapon trajectory vector at crossing
3) Person association status at crossing (context only)
4) Crossing speed and direction
5) Whether weapon returns inside boundary after crossing</t>
  </si>
  <si>
    <t>Immediate alert the moment weapon crosses the restricted boundary. No grace period, no timer. Alert remains active until operator acknowledges. Highest priority — overrides UC-051 timers if both conditions occur simultaneously.</t>
  </si>
  <si>
    <t>Manual observation. No automated boundary monitoring or crossing detection.</t>
  </si>
  <si>
    <t>- Weapon bouncing across boundary and returning (transient crossing)
- Camera parallax causing apparent crossing that did not occur
- Multiple weapons near boundary simultaneously
- Authorised staff repositioning weapon across boundary</t>
  </si>
  <si>
    <t>IF weapon crosses restricted zone boundary → IMMEDIATE alert (no timer, no delay).
Person association is logged as context but does not suppress or delay the alert.
Alert remains active until operator acknowledges.
HIGHEST PRIORITY — overrides all UC-051 (Visibility) timers if both conditions occur simultaneously.</t>
  </si>
  <si>
    <t>Zone boundary definitions (pre-loaded per exercise). UC-051 (Weapon Visibility Rule).</t>
  </si>
  <si>
    <t>Weapon position tracking and boundary crossing detection are fully visual. No audio required.</t>
  </si>
  <si>
    <t>Policy - UC-052</t>
  </si>
  <si>
    <t>UC-053</t>
  </si>
  <si>
    <t>Cross-Camera Person Re-Identification for Weapon Accountability Under Occlusion</t>
  </si>
  <si>
    <t>A single base station (training range) is covered by multiple CCTV cameras with non-overlapping or partially overlapping fields of view, each covering one or more lanes (e.g. Lane 1 through Lane 6). 
Trainees move freely between lanes while carrying their assigned weapons.
A naïve weapon-detection model treats every loss of weapon visibility as a loss of the weapon. The moment a trainee picks up and carries a weapon — barrel down, slung, or shielded by the body or carry posture — the weapon is occluded and disappears from detection. A frame-by-frame detector would raise a "weapon missing" alert on every normal carry, generating constant false alarms and destroying operator trust. 
The accountability question is not "is the weapon visible right now," but "is the weapon still where it should be."</t>
  </si>
  <si>
    <t>Maintain stable person identity within each station so weapon-association, dwell-time, and movement-tracking analytics (UC-051, UC-052) work continuously even when persons leave one camera view and reappear in another. Without Re-ID, ByteTrack assigns a new track ID every time a person crosses camera boundaries, breaking continuity of all dependent policies.</t>
  </si>
  <si>
    <t>Alert condition — the only trigger. A tracked, weapon-associated trainee crosses the base-station boundary and the weapon cannot be visually confirmed anywhere in the monitored scene at that moment (neither carried on the person nor set down within the area). Occlusion alone never triggers an alert; lane-to-lane movement never triggers an alert; only an unconfirmed weapon leaving the controlled boundary does.
Key distinction. "Occluded" ≠ "missing." Occlusion is a visibility state inside a known containment boundary; missing is an accountability state at the boundary edge. The system holds the weapon's last known association open for as long as the person carrying it remains tracked and inside the boundary, and only escalates when containment can no longer be assumed.</t>
  </si>
  <si>
    <t>(1) Weapon visible and associated, person inside the base-station boundary → armed, accounted for.
(2) Weapon no longer visible (occluded by carry posture), person still tracked inside the boundary → occluded, presumed retained — no alert. Occlusion is the expected condition once a weapon is carried. Movement between lanes (Lane 1 → Lane 6) is normal and never triggers an alert.
(3) Weapon-associated person crosses the base-station boundary while the weapon cannot be visually confirmed → accountability warning raised for human verification.</t>
  </si>
  <si>
    <t>Persistent person identity (re-ID) across all cameras covering the base station. A trainee tracked in Lane 1 must resolve to the same identity when they reappear in Lane 6, despite the camera handoff and any gap in coverage.
Weapon-to-person association. While weapon and person are jointly visible, the weapon is bound to that person's identity.
Association persistence under occlusion. Once bound, the weapon's status is inferred from the person's continuously tracked state. Loss of weapon visibility does not, on its own, change the weapon's status.</t>
  </si>
  <si>
    <t>No cross-camera tracking exists. ByteTrack provides per-camera track IDs only. A person crossing from one camera to another currently gets two unrelated IDs. Operator must mentally correlate the same individual across screens.</t>
  </si>
  <si>
    <t>- Identical uniforms / appearance among multiple persons (military training context)
- Heavy occlusion / partial body crops giving weak embeddings
- Lighting variation between cameras at the same station
- Persons leaving station coverage &gt; TTL and re-entering (gallery expired)
- Two stations adjacent — accidental cross-station match (prevented by design)
- YOLO26 embed() returns variable feature dim — handled with L2 normalize + first-extraction baseline</t>
  </si>
  <si>
    <t>TWO-LAYER:
Layer 1 (BoT-SORT): per-camera identity via tracker reid_yaml — set with_reid: True, model: auto
Layer 2 (StationReID): every N frames, extract embedding via yolo_model.embed(crop), L2-normalize,
compare against station gallery; match if cosine &gt;= REID_MATCH_THRESHOLD (0.65 default);
ambiguous if top-2 within margin → defer; new_person if no match; transfer UC-051 locks on identity change.</t>
  </si>
  <si>
    <t>BoT-SORT (Ultralytics v8.3.114+) with with_reid: True. YOLO26L person detector with embed() endpoint. GPU memory for embedding extraction. UC-051, UC-052 as consumers of person IDs.</t>
  </si>
  <si>
    <t>Person appearance and inter-camera continuity are fully visual. Re-ID models operate on RGB crops only — no audio input required.</t>
  </si>
  <si>
    <t>Policy - UC-053</t>
  </si>
  <si>
    <t>UC-054</t>
  </si>
  <si>
    <t>Column Name</t>
  </si>
  <si>
    <t>Purpose</t>
  </si>
  <si>
    <t>How to Fill It</t>
  </si>
  <si>
    <t>Good Example</t>
  </si>
  <si>
    <t>Bad Example</t>
  </si>
  <si>
    <t>Unique reference</t>
  </si>
  <si>
    <t>Sequential: UC-001, UC-002</t>
  </si>
  <si>
    <t>'the safety one'</t>
  </si>
  <si>
    <t>Letter code for group</t>
  </si>
  <si>
    <t>A through I</t>
  </si>
  <si>
    <t>(blank)</t>
  </si>
  <si>
    <t>Domain grouping</t>
  </si>
  <si>
    <t>From group name</t>
  </si>
  <si>
    <t>Bad stuff</t>
  </si>
  <si>
    <t>Scannable label</t>
  </si>
  <si>
    <t>Short noun phrase</t>
  </si>
  <si>
    <t>Weapon Muzzle Direction Violation</t>
  </si>
  <si>
    <t>Safety issue</t>
  </si>
  <si>
    <t>Full scope + success</t>
  </si>
  <si>
    <t>What + what does good look like?</t>
  </si>
  <si>
    <t>Detects muzzle sweep across persons...</t>
  </si>
  <si>
    <t>Detect bad things</t>
  </si>
  <si>
    <t>The WHY</t>
  </si>
  <si>
    <t>Underlying goal</t>
  </si>
  <si>
    <t>Prevent unsafe muzzle orientation</t>
  </si>
  <si>
    <t>Keep people safe</t>
  </si>
  <si>
    <t>How the system detects it</t>
  </si>
  <si>
    <t>Visual method, classifiers, thresholds</t>
  </si>
  <si>
    <t>Pose estimation + weapon vector + person detection</t>
  </si>
  <si>
    <t>Camera watches</t>
  </si>
  <si>
    <t>Measurable signals</t>
  </si>
  <si>
    <t>3-5 log-reviewable items</t>
  </si>
  <si>
    <t>Muzzle angle, duration, frequency per person</t>
  </si>
  <si>
    <t>Track if works</t>
  </si>
  <si>
    <t>Target flow</t>
  </si>
  <si>
    <t>Detection → response</t>
  </si>
  <si>
    <t>Immediate alert with snapshot and location</t>
  </si>
  <si>
    <t>Fix it</t>
  </si>
  <si>
    <t>Baseline</t>
  </si>
  <si>
    <t>Honest before state</t>
  </si>
  <si>
    <t>Post-event CCTV review - after the fact</t>
  </si>
  <si>
    <t>Fine / N/A</t>
  </si>
  <si>
    <t>Edge Cases</t>
  </si>
  <si>
    <t>Failure scenarios</t>
  </si>
  <si>
    <t>3-5 boundary conditions</t>
  </si>
  <si>
    <t>Momentary sweep during transition</t>
  </si>
  <si>
    <t>Rank</t>
  </si>
  <si>
    <t>P0=safety, P1=high, P2=mod, P3=low</t>
  </si>
  <si>
    <t>Important</t>
  </si>
  <si>
    <t>Progress</t>
  </si>
  <si>
    <t>Not Started → Complete</t>
  </si>
  <si>
    <t>Kinda done</t>
  </si>
  <si>
    <t>Policy Summary</t>
  </si>
  <si>
    <t>Rule logic</t>
  </si>
  <si>
    <t>Brief if/then</t>
  </si>
  <si>
    <t>If sustained &gt;2s → alert; if transient → log only</t>
  </si>
  <si>
    <t>Be safe</t>
  </si>
  <si>
    <t>Related UCs</t>
  </si>
  <si>
    <t>UC IDs that interact</t>
  </si>
  <si>
    <t>Others</t>
  </si>
  <si>
    <t>Sensor requirements</t>
  </si>
  <si>
    <t>Visual Only / Visual+Audio / Visual-Primary Audio-Enhanced</t>
  </si>
  <si>
    <t>Camera</t>
  </si>
  <si>
    <t>Why that modality</t>
  </si>
  <si>
    <t>Explain what audio adds or why visual suffices</t>
  </si>
  <si>
    <t>Weapon orientation fully observable visually</t>
  </si>
  <si>
    <t>Link to detail</t>
  </si>
  <si>
    <t>Auto - hyperlink when policy sheet created</t>
  </si>
  <si>
    <t>→ Policy - UC-001</t>
  </si>
  <si>
    <t>(blank = not created)</t>
  </si>
  <si>
    <t>Count</t>
  </si>
  <si>
    <t>Implication</t>
  </si>
  <si>
    <t>Fully achievable with camera systems. No additional sensor infrastructure.</t>
  </si>
  <si>
    <t>Requires integrated acoustic sensors. Video alone would miss critical events.</t>
  </si>
  <si>
    <t>Functions with video alone but audio significantly improves accuracy or completeness.</t>
  </si>
  <si>
    <t>TOTAL</t>
  </si>
  <si>
    <t>USE CASES REQUIRING AUDIO INTEGRATION</t>
  </si>
  <si>
    <t>Why Audio Is Needed</t>
  </si>
  <si>
    <t>Project Name</t>
  </si>
  <si>
    <t>Policies</t>
  </si>
  <si>
    <t>Project A</t>
  </si>
  <si>
    <t>Policy - UC-001</t>
  </si>
  <si>
    <t>Policy - UC-002</t>
  </si>
  <si>
    <t>Policy - UC-003</t>
  </si>
  <si>
    <t>▼  TYPE THE UC ID IN THE YELLOW CELL BELOW  -  EVERYTHING ELSE AUTO-FILLS  ▼</t>
  </si>
  <si>
    <t>UC ID ↓</t>
  </si>
  <si>
    <t>IDENTIFICATION</t>
  </si>
  <si>
    <t>Last Updated</t>
  </si>
  <si>
    <t>CONTEXT  (auto-pulled - edit in Use Case Library, not here)</t>
  </si>
  <si>
    <t>Edge Cases (from library)</t>
  </si>
  <si>
    <t>Current Policy Summary</t>
  </si>
  <si>
    <t>DECISION LOGIC  (fill manually - core deliverable)</t>
  </si>
  <si>
    <t>Step 1: Detection</t>
  </si>
  <si>
    <t>What signals indicate this use case is active? Classifiers, keywords, flags, thresholds.</t>
  </si>
  <si>
    <t>Step 2: Classification</t>
  </si>
  <si>
    <t>How do you determine severity or sub-type? What categories exist?</t>
  </si>
  <si>
    <t>Step 3: Response Selection</t>
  </si>
  <si>
    <t>What response strategy maps to each classification?</t>
  </si>
  <si>
    <t>Step 4: Execution</t>
  </si>
  <si>
    <t>What exactly does the system do? Be specific - templates, actions, tone.</t>
  </si>
  <si>
    <t>Step 5: Validation</t>
  </si>
  <si>
    <t>How verify the response was appropriate? Pre/post-delivery checks?</t>
  </si>
  <si>
    <t>Step 6: Follow-up</t>
  </si>
  <si>
    <t>What happens after initial response? Loops, escalation, closure.</t>
  </si>
  <si>
    <t>Algorithm (pseudocode / decision tree)</t>
  </si>
  <si>
    <t>Write complete if/then/else logic.
IF [condition] THEN
  → [action]
ELSE IF [condition] THEN
  → [action]
ELSE
  → [default]
END</t>
  </si>
  <si>
    <t>METRICS</t>
  </si>
  <si>
    <t>Success Metrics / KPIs</t>
  </si>
  <si>
    <t>How measure this is handled well?</t>
  </si>
  <si>
    <t>Failure Indicators</t>
  </si>
  <si>
    <t>What signals the policy is failing?</t>
  </si>
  <si>
    <t>Evaluation Method</t>
  </si>
  <si>
    <t>A/B test, manual review, automated checks?</t>
  </si>
  <si>
    <t>DETAILED EDGE CASES</t>
  </si>
  <si>
    <t>Edge Case 1</t>
  </si>
  <si>
    <t>→ Handling</t>
  </si>
  <si>
    <t>Edge Case 2</t>
  </si>
  <si>
    <t>Edge Case 3</t>
  </si>
  <si>
    <t>Edge Case 4</t>
  </si>
  <si>
    <t>TEST CASES  (input → expected → rationale)</t>
  </si>
  <si>
    <t>Test 1: Clear match - Input</t>
  </si>
  <si>
    <t>→ Expected response</t>
  </si>
  <si>
    <t>→ Why correct</t>
  </si>
  <si>
    <t>Test 2: Ambiguous - Input</t>
  </si>
  <si>
    <t>Test 3: False positive - Input</t>
  </si>
  <si>
    <t>REVIEW &amp; SIGN-OFF</t>
  </si>
  <si>
    <t>Reviewed by</t>
  </si>
  <si>
    <t>Review date</t>
  </si>
  <si>
    <t>Approved by</t>
  </si>
  <si>
    <t>Approval date</t>
  </si>
  <si>
    <t>Version</t>
  </si>
  <si>
    <t>1.0</t>
  </si>
  <si>
    <t>OPEN ITEMS</t>
  </si>
  <si>
    <t>Open Questions</t>
  </si>
  <si>
    <t>Decisions Needed</t>
  </si>
  <si>
    <t>Data Gaps</t>
  </si>
  <si>
    <t>Next Steps</t>
  </si>
  <si>
    <t>Project1</t>
  </si>
  <si>
    <t>Policy 1</t>
  </si>
  <si>
    <t>Policy 2</t>
  </si>
  <si>
    <t>Configuration A (15 degrees, muzzle pointing direction)</t>
  </si>
  <si>
    <t>Project2</t>
  </si>
  <si>
    <t>REQUIREMENTS CONTEXT  (auto-pulled - edit in Use Case Library, not here)</t>
  </si>
  <si>
    <t>Configuration B (10 degrees, muzzle pointing direction)</t>
  </si>
  <si>
    <t>Policy 3</t>
  </si>
  <si>
    <t>INFLUENCED TECHNOLOGIES REFERENCE</t>
  </si>
  <si>
    <t>AAAAAAA</t>
  </si>
  <si>
    <t>www.aaaa.com</t>
  </si>
  <si>
    <t>The system needs to detect two things simultaneously: 
(a) the weapon's muzzle direction vector, and 
(b) the positions of all other persons in the frame. 
The muzzle vector is derived from weapon pose estimation, identifying the barrel axis from the receiver to muzzle tip. This requires the weapon to be at least partially visible. The system calculates the angular relationship between the muzzle vector and every detected person within a defined range (e.g., 30m forward arc). 
A "sweep" event is triggered when the muzzle-to-person angle falls below a threshold, I'd start at 15° cone, but this needs calibration with real range footage. Detection runs continuously at frame rate on all firing line cameras.</t>
  </si>
  <si>
    <t>CV Team to fill and maintain.</t>
  </si>
  <si>
    <t>Not all sweeps are equal. Classification axes:
Duration: Transient (&lt;2s) vs Sustained (≥2s). Transient sweeps happen during legitimate weapon transitions, going from slung to ready, changing firing position, or moving along the firing line. Sustained sweeps indicate either negligence or loss of awareness.
Context: Firer stationary vs in motion. A sweep during movement (transitioning between positions) is less severe than a sweep while stationary.
Proximity: How close is the swept person? A sweep across someone 2m away is far more dangerous than across someone 25m away at the end of the line.
Weapon state: If weapon is in SLUNG state (from UC-008), muzzle may point near others but with no intent, lower severity. If weapon is in AIMED or HIGH-READY, any sweep is high severity.
Classification matrix:
CRITICAL: Sustained + stationary + aimed/high-ready + person within 3m
HIGH: Sustained + any context + person within 5m
MEDIUM: Transient + repeated (2nd+ occurrence in session) OR sustained + person beyond 10m
LOW: Single transient during movement transition</t>
  </si>
  <si>
    <t>CRITICAL → Immediate audio/visual alert to Range Safety Officer (RSO) + auto-capture screenshot + recommend individual ceasefire for that position
HIGH → Immediate alert to RSO + auto-capture. No ceasefire recommendation but RSO briefed to intervene directly.
MEDIUM → Alert queued (non-interrupting notification to RSO). Logged for post-session review and UC-010 pattern tracking.
LOW → Log only. No real-time alert. Feeds into UC-010 aggregate.</t>
  </si>
  <si>
    <t>On CRITICAL/HIGH trigger:
(a) System freezes the relevant camera frame with muzzle vector overlay drawn on image (showing the firer, the vector, and the swept person highlighted)
(b) Alert pushed to RSO tablet/screen: "MUZZLE VIOLATION — Lane [X], [severity], [firer description by position], [swept person description by position], [duration]s"
(c) 5-second video clip buffered (2s before, 3s after event start) and attached to alert
(d) If CRITICAL: audible alarm tone on RSO device + text overlay on range control display
(e) Event logged with: timestamp, camera ID, firer position, swept person position, angle, duration, weapon state, classification
On MEDIUM/LOW:
(a) Event logged with same data fields
(b) MEDIUM events appear in RSO's notification queue (reviewable between serials)
(c) LOW events visible only in post-session reports</t>
  </si>
  <si>
    <t>Pre-delivery: Before alerting RSO, system performs a 0.5s confirmation check - is the detection sustained across multiple frames? Single-frame detections are suppressed (likely noise). This prevents alert fatigue from momentary classification errors.
Post-delivery: RSO has a "Confirm / Dismiss" option on each alert. Confirmed alerts feed into UC-010. Dismissed alerts are logged as false positives and fed back for model retraining. Track the confirm/dismiss ratio - if dismiss rate &gt; 30%, the threshold needs recalibration.</t>
  </si>
  <si>
    <t>(a) After any CRITICAL alert: system flags the individual for enhanced monitoring for remainder of session (tighter thresholds, lower duration requirement for alert)
(b) After session: generate per-individual safety report showing all muzzle events (severity, frequency, trend)
(c) If pattern detected across session (≥3 events, any severity): auto-generate UC-010 referral
(d) RSO can mark an individual as "under remedial supervision" which persists across sessions</t>
  </si>
  <si>
    <t>ON EACH FRAME:
  FOR each detected weapon W with identifiable muzzle vector:
    FOR each detected person P where P ≠ holder of W:
      angle = calculate_angle(W.muzzle_vector, P.position)
      distance = calculate_distance(W.holder.position, P.position)
      IF angle &lt; SWEEP_THRESHOLD (15°):
        START or CONTINUE sweep_event for (W, P)
        sweep_event.duration += frame_interval
        sweep_event.weapon_state = get_weapon_state(W)  // from UC-008
        sweep_event.holder_moving = is_in_motion(W.holder)
        sweep_event.min_distance = min(sweep_event.min_distance, distance)
        // Classify
        IF sweep_event.duration ≥ 2s:
          IF weapon_state IN [AIMED, HIGH_READY] AND distance &lt; 3m AND NOT holder_moving:
            severity = CRITICAL
          ELSE IF distance &lt; 10m:
            severity = HIGH
          ELSE:
            severity = MEDIUM
        ELSE:
          IF count_session_events(W.holder) ≥ 2:
            severity = MEDIUM
          ELSE:
            severity = LOW
        // Confirm (multi-frame validation)
        IF sweep_event.consecutive_frames ≥ CONFIRM_FRAMES (3):
          IF severity IN [CRITICAL, HIGH]:
            SEND immediate_alert(RSO, sweep_event)
            CAPTURE video_clip(camera, timestamp, ±buffer)
            IF severity == CRITICAL:
              TRIGGER audible_alarm()
              RECOMMEND individual_ceasefire(W.holder.position)
          ELSE IF severity == MEDIUM:
            QUEUE notification(RSO, sweep_event)
          LOG event(sweep_event)
          UPDATE uc010_aggregate(W.holder, sweep_event)
      ELSE:
        IF active sweep_event exists for (W, P):
          CLOSE sweep_event
          // Final log with total duration</t>
  </si>
  <si>
    <t>(a) Detection rate: % of actual muzzle violations detected (target: &gt;90%, validated against manual review of sample footage)
(b) Alert latency: time from violation start to RSO notification (target: &lt;3s for CRITICAL/HIGH)
(c) RSO confirmation rate: % of alerts confirmed as genuine by RSO (target: &gt;70% - below this means too many false positives)
(d) Intervention rate: % of CRITICAL/HIGH alerts where RSO took action within 30s
(e) Zero miss rate on CRITICAL: no sustained aimed sweep at close range should ever go undetected (target: 100%)</t>
  </si>
  <si>
    <t>Fill by PM / QA</t>
  </si>
  <si>
    <t>(a) RSO dismissing &gt;30% of alerts → threshold too sensitive, alert fatigue risk
(b) RSO ignoring alerts entirely (no confirm/dismiss action) → alert delivery or UI problem, or RSO has lost trust in system
(c) Post-incident review reveals muzzle violation occurred but was not detected → detection model failure, need camera coverage or model review
(d) Significant variation in detection rate between camera positions → coverage gap or angle-dependent model weakness</t>
  </si>
  <si>
    <t>(a) Weekly sample review: randomly select 20 minutes of footage per range, have safety officer manually annotate violations, compare against system detections (precision and recall)
(b) Monthly RSO feedback session: structured debrief on alert quality, false positive patterns, missed events
(c) Quarterly threshold review: analyse all confirmed and dismissed alerts, adjust angle threshold and duration thresholds based on data
(d) Annual model retraining with accumulated labelled data (confirmed alerts + manual annotations)</t>
  </si>
  <si>
    <t>Written by PM, handling to be decided by the CV Team.</t>
  </si>
  <si>
    <t>Momentary sweep during stance transition (e.g., standing to kneeling)</t>
  </si>
  <si>
    <t>Weapon state transition detected via UC-008 (state changing from one posture to another within a 3s window). During detected transitions, suppress CRITICAL/HIGH alerts and downgrade to LOG-only. 
If transition takes longer than 3s, resume normal thresholds, prolonged transition suggests fumbling, which is itself a safety concern.</t>
  </si>
  <si>
    <t>Weapon with mounted optic, bipod, or suppressor that obscures or extends the muzzle line</t>
  </si>
  <si>
    <t>The muzzle vector estimation model must be trained on weapons with common attachments. If the system cannot confidently determine muzzle direction (confidence &lt; 0.6), log as INDETERMINATE and flag for camera repositioning recommendation. 
Do not suppress alerts - if anything, lower confidence should make the system more cautious, not less. Accept higher false positive rate rather than miss a genuine violation.</t>
  </si>
  <si>
    <t>Multiple people in frame with overlapping positions, system cannot determine which person was swept</t>
  </si>
  <si>
    <t>Alert on ALL persons within the sweep cone. The RSO can determine which specific individual was at risk. Better to over-report the swept persons than under-report. 
Log all persons in the cone with their respective angles and distances.</t>
  </si>
  <si>
    <t>Prone firing position where muzzle naturally points along the ground toward adjacent lanes</t>
  </si>
  <si>
    <t>When firer is classified as PRONE (via pose estimation) and weapon state is AIMED, apply a modified detection zone, the lateral sweep threshold is tightened (10° instead of 15°) but the forward arc is expanded to account for natural barrel movement during prone adjustments. 
If adjacent lane personnel are also PRONE and behind cover/in their own firing position, reduce severity by one level (they are in an expected exposure posture).</t>
  </si>
  <si>
    <t>Policy Governance</t>
  </si>
  <si>
    <t>Fail-safe stance Declaration</t>
  </si>
  <si>
    <t>FAIL-SAFE STANCE:
When uncertain → [ALERT / LOG / SUSPEND / SAFE-STATE]
When sensors fail → [raise threshold / downgrade / alert operator]
When model confidence drops below floor → [specific action]
When conflicting signals → [rule for arbitration]
Example (UC-001):
"If muzzle vector confidence &lt; 0.5 AND weapon is visibly
raised → treat as HIGH-READY and apply standard thresholds.
Never silently discard a low-confidence detection of a
raised weapon."</t>
  </si>
  <si>
    <t>Every policy should explicitly declare what the system does when it loses confidence, loses sensors, or can't decide. Right now there's no concept of a "fail-safe stance" — the system's default behaviour under uncertainty is undefined. For life-safety systems, the default must be conservative and stated explicitly.</t>
  </si>
  <si>
    <t>Authority &amp; Liability Delineation</t>
  </si>
  <si>
    <t>AUTHORITY BOUNDARY:
The system MAY:
  → Detect and classify events
  → Alert the Range Safety Officer
  → Recommend ceasefire
  → Pre-stage electronic range disable (for RSO to confirm)
  → Log all events with timestamps
The system MAY NOT:
  → Command a ceasefire autonomously
  → Disable firing points without RSO confirmation
  → Identify individuals for disciplinary action
  → Be used as sole evidence in formal proceedings
HUMAN IN THE LOOP requirement:
  All actions with physical consequences (ceasefire, 
  range lockdown) require explicit RSO confirmation.
  System recommendations are advisory only.
Decision authority: RSO has override power on ALL alerts.</t>
  </si>
  <si>
    <t>No policy defines where the system's authority ends and the human's begins. For a system that recommends ceasefires, this is legally critical. Who is liable if a recommendation is ignored and someone is hurt? Who is liable if the recommendation fires incorrectly and disrupts a critical exercise? These lines must be drawn explicitly in every P0/P1 policy.</t>
  </si>
  <si>
    <t>Written by PM / QA, handling to be decided by the CV Team.</t>
  </si>
  <si>
    <t>Firer at Lane 4, standing, weapon in HIGH-READY state. Turns to speak to person 3m to their right. Weapon muzzle traverses across that person's torso and remains pointed at them for 4 seconds.</t>
  </si>
  <si>
    <t>CRITICAL alert. Immediate RSO notification with screenshot showing muzzle vector overlay crossing the adjacent person. Video clip captured. Audible alarm. Individual ceasefire recommendation for Lane 4.</t>
  </si>
  <si>
    <t>Sustained (4s &gt; 2s threshold) + HIGH-READY weapon state + person within 5m + firer stationary = maximum severity. All CRITICAL criteria met. This is textbook negligent muzzle discipline.</t>
  </si>
  <si>
    <t>Firer at Lane 7 is transitioning from standing to kneeling position. During the 1.5s transition, the weapon muzzle briefly passes through the 15° cone of the person at Lane 8 (distance: 2m). The weapon state is changing from HIGH-READY to AIMED (kneeling).</t>
  </si>
  <si>
    <t xml:space="preserve">LOG only (no real-time alert). Event recorded with: transient (1.5s), during stance transition, first occurrence in session. Classified as LOW. If this is the firer's 3rd such event in the session, reclassify as MEDIUM and queue RSO notification.
</t>
  </si>
  <si>
    <t>Duration &lt; 2s AND firer in detected motion/transition AND first occurrence = LOW severity. 
The stance transition context suppresses the alert. However, the event is still logged and counts toward UC-010 pattern accumulation - repeated transitions that sweep others suggest poor weapon handling technique even if each individual event is brief.</t>
  </si>
  <si>
    <t>Camera captures a firer at Lane 2 whose weapon has a long suppressor attached. The suppressor creates a shadow that the system initially interprets as the muzzle pointing 20° off from actual direction. System calculates this phantom vector as sweeping a person at Lane 3.</t>
  </si>
  <si>
    <t>System should NOT alert if the muzzle vector confidence is below threshold (0.6). Instead, log as INDETERMINATE with a flag for review. 
If the system's confidence is above 0.6 (it genuinely believes this is the muzzle direction), it SHOULD alert - the alert will be dismissed by the RSO as a false positive, and this dismissed event feeds back into model retraining for suppressor-equipped weapons.</t>
  </si>
  <si>
    <t>We deliberately accept false positives over false negatives for safety-critical detection. The RSO dismiss action is the feedback loop. If suppressor-related false positives become frequent, this drives a specific model retraining cycle for that attachment type. The system should never silently suppress what it believes is a genuine detection.</t>
  </si>
  <si>
    <t>NA</t>
  </si>
  <si>
    <t>Dan Lim</t>
  </si>
  <si>
    <t>(a) What is the right angular threshold? 15° is a starting point but needs validation with real range footage. Should it vary by weapon type (pistol arc vs rifle arc)?
(b) Should the system distinguish between "muzzle swept an instructor/RSO" (who accepts the risk by being on the line) vs "muzzle swept a fellow trainee" (who has no such expectation)?
(c) How do we handle designated safety arcs that are range-specific? The system needs to ingest range-specific safe arc definitions per exercise, not just person-relative angles.</t>
  </si>
  <si>
    <t>(a) Confirm severity classification matrix with Range Safety establishment - do they agree with the CRITICAL/HIGH/MEDIUM/LOW breakdown?
(b) Define RSO alert delivery mechanism - tablet push notification? Overhead display? Audible alarm type? This affects latency targets.
(c) Policy on alert fatigue: what is the maximum acceptable alert rate per hour before RSOs start ignoring them? This constrains threshold tuning.</t>
  </si>
  <si>
    <t>(a) No labelled training dataset of muzzle violations exists - need to either stage scenarios for initial training or manually annotate existing range footage
(b) Weapon attachment configurations (suppressor, optic, bipod, grenade launcher) and their impact on muzzle vector estimation are untested
(c) RSO dismiss rate baseline unknown - need to establish what "good" looks like before we can detect degradation</t>
  </si>
  <si>
    <t>(a) Source or generate 50+ hours of range footage with diverse weapon types and positions for model training
(b) Stage 20 controlled muzzle violation scenarios (various severities) for initial detection validation
(c) Conduct RSO user testing - put alert UI in front of 3-5 RSOs and measure response time, comprehension, and trust
(d) Define range-specific safe arc format and ingestion method (per-exercise configuration)</t>
  </si>
  <si>
    <t>The system needs to answer one question: is there a human being inside a defined danger zone? This breaks down into sub-problems.
Zone definition: Danger zones are not simple rectangles. They are irregular polygons defined by weapon trajectory fans, ricochet zones, and terrain features. Each exercise type has a different danger zone template, and the range officer may modify it based on the specific exercise plan. The system must ingest zone definitions as georeferenced polygons, then project those polygons onto each camera's field of view using the camera's known position, angle, and lens calibration. This projection must be pre-computed before the exercise starts - you cannot do this in real time.
Human detection at range: This is the hard part. At 50m, a person subtends hundreds of pixels on a typical HD camera - easy. At 300m, a person might be 15-20 pixels tall. At 500m+, a person is a handful of pixels indistinguishable from a fence post. The detection method must be distance-aware:
(a) Near zone (0-100m): Standard person detection (full body classifier). High confidence achievable. Frame rate detection.
(b) Mid zone (100-300m): Person detection still possible but confidence drops. Supplement with motion detection - a stationary person may not be classifiable, but a moving person produces a motion signature distinguishable from vegetation. Thermal/IR cameras significantly outperform visible spectrum at this range.
(c) Far zone (300m+): Visual person detection unreliable. Primary detection shifts to motion anomaly (something moving that isn't vegetation or known range equipment) and thermal signature (human body heat stands out against terrain, especially at dawn/dusk/night). Accept that stationary persons in far zone may not be detected by camera alone - this is where range procedures (physical sweep before going hot) remain the primary control.
Multi-camera fusion: A single camera detection at 200m+ should trigger a verification sequence - slew a PTZ camera to the location, or cross-reference with the nearest fixed camera that has a different angle. Single-camera single-frame detections at distance should never directly trigger a ceasefire - the false positive cost is too high.</t>
  </si>
  <si>
    <t>Every detection gets classified on two axes:
Entity type:
(a) HUMAN (high confidence ≥ 0.8) - body shape, gait, thermal profile consistent with human
(b) HUMAN (low confidence 0.5-0.8) - something that could be human but uncertain
(c) VEHICLE - larger signature, distinct shape and motion profile
(d) ANIMAL - movement pattern (four-legged gait), size profile, thermal signature (usually lower and more distributed than human)
(e) UNKNOWN - motion or thermal anomaly that doesn't classify into above
(f) ENVIRONMENTAL - known false positive sources: heat shimmer, vegetation movement in wind, dust devil, shadow movement from clouds
Authorisation status:
(a) EXPECTED - position matches a known authorised presence (e.g., target operator in a designated target bunker during a known ceasefire window). The system must maintain a list of authorised positions and time windows.
(b) UNEXPECTED - no matching authorisation. This is the default classification for any detection not matched to an authorised presence.
(c) PREVIOUSLY CLEARED - the zone was swept and cleared, and the access points show no subsequent entry. This increases the suspicion level of any detection (something appeared in a zone that should be empty).
Severity matrix: refer to right hand side table</t>
  </si>
  <si>
    <t>(a) CRITICAL → Immediate ceasefire recommendation. This is the only use case in the entire system that should have the authority to recommend a full range ceasefire, not just a lane ceasefire. The system does not command a ceasefire - it recommends to the range officer who makes the call. But the recommendation must be impossible to miss.
(b) HIGH → Immediate alert to range officer with live camera feed slewed to detection location. PTZ camera auto-tracks the detection. If verification confirms human, escalate to CRITICAL.
(c) MEDIUM → Alert queued for range officer. Log with camera capture. No ceasefire recommendation.
(d) VERIFY → System auto-initiates verification sequence (PTZ slew, multi-camera cross-reference, thermal overlay). Alert to range officer: "Verifying detection at [grid reference]. Stand by."
(e) LOG → Animal or environmental. Logged for pattern analysis (if the same area triggers repeatedly, the camera may need repositioning or the zone boundary may need adjustment).
(f) SUPPRESS → Known environmental false positive. Not shown to range officer. Logged internally for system health monitoring.</t>
  </si>
  <si>
    <t>On CRITICAL:
(1) Range control display flashes RED with detection location overlaid on range map
(2) Audio alarm in range control tower - distinct from all other alarms (this is the "someone is downrange" alarm, it must be unmistakable)
(3) All camera feeds showing the detection location are pushed to the primary display
(4) If PTZ camera available, auto-slew to detection coordinates and begin tracking
(5) System displays recommended action: "HUMAN DETECTED IN DANGER ZONE - CEASEFIRE RECOMMENDED - [grid ref] - [distance from nearest firing point]"
(6) If range has electronic firing controls (lane enable/disable), system pre-stages a full range disable for the range officer to confirm with a single action
(7) Continuous tracking of the detection - if the person is moving, display predicted path and whether they are moving toward or away from the impact area
(8) Auto-record all camera feeds from detection point onward (incident preservation)
On HIGH:
(1) Alert to range officer with camera feed and location
(2) PTZ auto-slew for verification
(3) If verification confirms human within 30 seconds → escalate to CRITICAL
(4) If verification cannot confirm (inconclusive) → maintain HIGH, alert stays active, range officer must make a judgment call
(5) If verification confirms non-human → downgrade to LOG, clear alert
On VERIFY:
(1) PTZ slew and zoom to detection coordinates
(2) Thermal camera overlay if available
(3) Check detection against authorised presence list (is a target operator scheduled at that position?)
(4) Present verification package to range officer within 15 seconds
(5) Range officer confirms (→ escalate) or dismisses (→ log as false positive)</t>
  </si>
  <si>
    <t>Pre-alert validation (happens in &lt;1 second):
(a) Require detection in ≥3 consecutive frames before triggering alert (prevents single-frame noise)
(b) Cross-reference against known static objects in the danger zone (range markers, target frames, structures). If the detection coordinates match a known static object within 2m, flag as potential false positive and require higher confidence (0.9) before alerting
(c) Check for detection in multiple cameras if overlapping coverage exists. Multi-camera confirmation = automatic confidence boost
(d) Environmental filter: if wind speed &gt; 40km/h, increase motion detection threshold to compensate for vegetation movement. If temperature &gt; 35°C, increase heat shimmer suppression filters
Post-alert validation:
(a) Range officer has CONFIRM / DISMISS / UNCERTAIN options
(b) CONFIRM: incident logged, feeds into training data as true positive
(c) DISMISS: logged as false positive with officer's noted reason. If the same detection source generates &gt;5 dismissals in a session, flag the camera/zone for calibration review
(d) UNCERTAIN: alert remains active until resolved. System continues tracking.
(e) Track false positive rate per camera, per zone, per time-of-day, per weather condition - identify systematic false positive patterns</t>
  </si>
  <si>
    <t>After any CRITICAL event:
(a) Range remains in ceasefire until the range officer positively confirms the danger zone is clear (either the person is accounted for and removed, or the detection is conclusively confirmed as false positive)
(b) Incident report auto-generated with: timeline, all camera feeds, detection confidence log, range officer actions and timing
(c) If person is found in the danger zone: formal incident investigation triggered. System data becomes evidence - all feeds preserved with chain-of-custody metadata
(d) If false positive: root cause analysis. Was it animal, environmental, or model error? Feed back into detection improvement
After any session:
(a) Generate danger zone detection summary: total alerts by severity, false positive rate, detection locations heatmap
(b) Flag any detection that occurred within 60 seconds of firing commencing or resuming - these represent the highest-risk near-misses even if resolved safely</t>
  </si>
  <si>
    <t>CONTINUOUS MONITORING LOOP:
  // Pre-exercise: zone setup
  ON EXERCISE_START:
    LOAD danger_zone_polygons from exercise plan
    PROJECT polygons onto each camera FOV
    LOAD authorised_presence_list (position, time_windows)
    LOAD known_static_objects in zone
    VERIFY all cameras covering zone are operational
    IF any zone area has no camera coverage → ALERT range officer: blind spot at [location]
  // Real-time detection
  ON EACH FRAME for each camera covering danger zone:
    detections = run_detector(frame, zone_mask)
    FOR each detection D:
      // Static object filter
      IF D.position matches known_static_object within 2m:
        IF D.confidence &lt; 0.9:
          CLASSIFY as ENVIRONMENTAL → SUPPRESS
          CONTINUE
      // Environmental filter
      IF matches_vegetation_motion_pattern(D) AND wind_speed &gt; threshold:
        CLASSIFY as ENVIRONMENTAL → SUPPRESS
        CONTINUE
      // Entity classification
      entity_type = classify_entity(D)  // HUMAN_HIGH, HUMAN_LOW, VEHICLE, ANIMAL, UNKNOWN
      IF entity_type == ANIMAL:
        LOG(D, "animal")
        CONTINUE
      // Frame persistence check
      IF D not tracked in previous 2 frames:
        INITIATE track, DO NOT alert yet
        CONTINUE
      IF D tracked ≥ 3 consecutive frames:
        // Authorisation check
        auth_status = check_authorisation(D.position, current_time, authorised_list)
        range_status = get_range_status()  // HOT, CEASEFIRE, COLD
        severity = lookup_severity_matrix(entity_type, auth_status, range_status)
        IF severity == CRITICAL:
          TRIGGER ceasefire_recommendation()
          PUSH all_camera_feeds(D.position)
          SLEW PTZ_camera(D.position)
          PLAY distinct_alarm("danger_zone_intrusion")
          DISPLAY "HUMAN IN DANGER ZONE" on range_control
          PRE_STAGE electronic_range_disable()
          START continuous_tracking(D)
          START incident_recording()
          AWAIT range_officer_action()
        ELSE IF severity == HIGH:
          ALERT range_officer(D, camera_feed)
          SLEW PTZ_camera(D.position)
          START verification_timer(30s)
          ON verification_timer_expiry:
            IF D still tracked AND entity_type confirmed HUMAN:
              ESCALATE to CRITICAL
            ELSE IF D lost OR reclassified:
              DOWNGRADE and LOG
        ELSE IF severity == VERIFY:
          INITIATE verification_sequence(D)
          PRESENT to range_officer within 15s
        ELSE IF severity == MEDIUM:
          QUEUE alert for range_officer
          LOG(D)
        ELSE:
          LOG(D)
  // Post-CRITICAL resolution
  ON CRITICAL_RESOLUTION:
    IF person_found:
      TRIGGER formal_incident_investigation()
      PRESERVE all feeds with chain_of_custody()
    IF false_positive:
      LOG root_cause
      UPDATE detection_model_feedback
    RANGE remains CEASEFIRE until range_officer explicitly clears</t>
  </si>
  <si>
    <t>(a) Detection rate for staged intrusions: Conduct quarterly tests where a person enters the danger zone during a controlled (non-live-fire) scenario. Target: 100% detection at ≤100m, &gt;95% at 100-300m, &gt;80% at 300m+ (visible spectrum), &gt;90% at 300m+ (with thermal)
(b) Alert latency: Time from person entering zone boundary to range officer receiving alert. Target: &lt;5s for near zone (0-100m), &lt;10s for mid zone (100-300m), &lt;15s for far zone (300m+). These include the 3-frame persistence check.
(c) False positive rate per session: Number of CRITICAL or HIGH alerts that are dismissed by range officer, divided by total alerts. Target: &lt;15%. Below 5% is excellent. Above 25% means the system is creating dangerous alert fatigue.
(d) False negative rate: This is the one that cannot be tolerated. Any missed detection of an actual person in the danger zone during a live-fire exercise is a system failure. Target: 0%. Measured via quarterly staged tests and post-exercise footage review.
(e) Time to ceasefire: From CRITICAL alert to actual ceasefire execution by range officer. This measures the human response, not the system, but the system should track it. Target: &lt;15s. If consistently &gt;30s, the alert mechanism isn't effective enough.
(f) Coverage completeness: Percentage of danger zone area covered by at least one camera. Target: 100% for near zone, &gt;90% for mid zone. Blind spots must be documented and compensated by procedural controls.</t>
  </si>
  <si>
    <t>(a) Any CRITICAL alert where the range officer takes &gt;60s to respond → the alert mechanism is failing (not attention-grabbing enough, too many competing alerts, poor UI placement)
(b) False positive rate rising over time → environmental conditions changing (new vegetation growth, new structures), camera calibration drifting, or model degrading
(c) Repeated false positives from the same location → known static object not in the object database, or persistent environmental source (e.g., a flag or banner that moves in wind)
(d) Post-exercise footage review finds a person was in the zone and system did not alert → immediate system failure investigation. Determine: was the person in a camera blind spot? Was the detection below confidence threshold? Was the environmental filter too aggressive?
(e) Range officers begin pre-emptively silencing or ignoring alerts → the most dangerous failure mode. System credibility has been lost. Usually caused by sustained false positive rate &gt;30%</t>
  </si>
  <si>
    <t>(a) Quarterly staged intrusion test: Controlled scenario - a person enters the danger zone from different directions, distances, and in different conditions (daylight, dusk, thermal, rain, heat). Measure detection rate, latency, and classification accuracy. This is non-negotiable - you must test this proactively, not wait for a real incident.
(b) Monthly false positive audit: Review all dismissed alerts from the past month. Categorise root causes (animal, environmental, model error, static object). Identify patterns. Feed false positives into model retraining.
(c) Per-session automated report: System auto-generates a detection summary after every exercise showing: total detections by classification, alerts by severity, range officer response times, and any blind spot warnings.
(d) Annual camera coverage audit: Walk every danger zone with GPS and verify camera coverage against the claimed coverage map. Identify new obstructions (tree growth, new structures) that have created blind spots since last audit.
(e) Cross-reference with UC-035 (access logging): After every exercise, reconcile danger zone detections against access point entry/exit logs. If someone entered the range but is not accounted for by exit logs or personnel count (UC-006), that is an unresolved discrepancy requiring investigation regardless of whether the danger zone cameras detected them.</t>
  </si>
  <si>
    <t>Animal intrusion - deer, dog, or bird triggers detection</t>
  </si>
  <si>
    <t>The entity classifier must distinguish human from animal based on: body aspect ratio (four-legged vs bipedal), gait pattern (animal gait cycles are distinct from human walking/running), thermal profile (animals have lower, more distributed thermal signatures than clothed humans), and size at estimated distance. 
For birds, the vertical position (above ground plane) and flight motion pattern are sufficient filters. However, if the classifier confidence between HUMAN and ANIMAL is close (e.g., 55% animal, 45% human), treat as UNKNOWN and escalate to HIGH, not suppress as animal. 
At distance, a crawling person can look remarkably like a large dog in visible spectrum. The thermal profile is the tiebreaker - a crawling person's thermal signature is concentrated and elevated compared to a quadruped's. Accept false alerts from animals over missed detections of humans.</t>
  </si>
  <si>
    <t>Heat shimmer / mirage at distance on a hot day</t>
  </si>
  <si>
    <t>Heat shimmer causes image distortion that can create apparent motion and phantom shapes, particularly at 200m+ over tarmac, sand, or bare earth on hot days (&gt;30°C, low wind). 
Mitigation: the system should detect shimmer conditions by analysing image stability metrics (high-frequency spatial distortion without corresponding object motion). When shimmer is detected in a zone, raise the detection confidence threshold from 0.8 to 0.9 for HUMAN_HIGH classification in that zone, and switch to thermal as the primary detection channel (thermal imaging is less affected by visible-spectrum shimmer). 
Log the shimmer detection as an environmental condition. If shimmer is persistent across the entire danger zone, alert the range officer that visual detection reliability is degraded and recommend enhanced procedural controls (additional physical sentries, reduced exercise scope).</t>
  </si>
  <si>
    <t>Authorised target operator in a bunker during a scheduled ceasefire window</t>
  </si>
  <si>
    <t>The authorised presence list must include: person role, position (bunker/location), and valid time window (ceasefire start → ceasefire end). The system should detect the operator entering the zone during ceasefire (LOG as EXPECTED), track them continuously, and automatically escalate to CRITICAL if the range status transitions to HOT while the operator is still in the zone. 
This is a critical interlock - the range should not be able to go hot while an authorised person is still detected in the danger zone. If the operator exits the zone, the system should confirm exit and update the authorised presence status. If the operator is not detected exiting before the ceasefire window closes, the system should ALERT: "Target operator may still be in zone - confirm clear before resuming fire." This is one of the most life-critical interlocks in the entire system.</t>
  </si>
  <si>
    <t>Person entering from an unmonitored boundary (e.g., adjacent land, jungle edge, rear of range)</t>
  </si>
  <si>
    <t>Danger zones often have natural boundaries (tree lines, fences, terrain features) that are assumed to be impassable. The system cannot rely on access point logging (UC-035) to know about intrusions from unmonitored boundaries. Camera coverage must include these boundaries where possible. 
Where camera coverage doesn't extend (e.g., deep jungle), the system must acknowledge the blind spot - document it in the coverage map, flag it to the range officer before every exercise, and recommend procedural mitigations (physical patrols of boundary before going hot, barrier improvement, acoustic sensors). 
The system should never represent 100% coverage confidence when physical blind spots exist. Honest coverage reporting is a safety obligation.</t>
  </si>
  <si>
    <t>Range status: HOT. Exercise in progress. Camera covering mid-zone (200m downrange) detects a person walking across the danger zone from left to right. Detection confidence 0.92 (HUMAN_HIGH). No matching entry in authorised presence list. 
Person detected in 15 consecutive frames, clearly moving with bipedal gait. Thermal confirms single human heat signature</t>
  </si>
  <si>
    <t>CRITICAL within 5 seconds of first detection (3-frame persistence = ~0.1s at 30fps, plus processing and alert delivery). Range control display flashes RED. Distinct alarm sounds. All cameras showing detection location pushed to primary display. PTZ auto-tracks the person. 
System displays: "HUMAN DETECTED IN DANGER ZONE - CEASEFIRE RECOMMENDED - Grid [X] - 200m from firing line - moving [direction] at [speed]." Electronic range disable pre-staged. Continuous tracking with predicted path. All feeds recording.</t>
  </si>
  <si>
    <t>High-confidence human detection, no authorisation, range is hot - every condition for CRITICAL is met. The system must assume this is a real person in mortal danger until proven otherwise. 
Speed of response is everything. The ceasefire recommendation is a recommendation, not an automatic action - the range officer makes the final call, but the system has done everything possible to make that call fast and informed.</t>
  </si>
  <si>
    <t>Range status: HOT. Camera covering far zone (400m) detects motion. Entity classification returns: 52% UNKNOWN, 31% ANIMAL, 17% HUMAN. 
The detection persists across 20 frames but the entity is small, partially occluded by low scrub, and moving in a pattern that doesn't clearly match human or animal gait. Thermal camera is available but at this range, the thermal resolution is low - it confirms a small warm body but cannot definitively classify.</t>
  </si>
  <si>
    <t>Range status: HOT. Camera covering far zone (400m) detects motion. Entity classification returns: 52% UNKNOWN, 31% ANIMAL, 17% HUMAN. The detection persists across 20 frames but the entity is small, partially occluded by low scrub, and moving in a pattern that doesn't clearly match human or animal gait. 
Thermal camera is available but at this range, the thermal resolution is low - it confirms a small warm body but cannot definitively classify.</t>
  </si>
  <si>
    <t>At 400m with ambiguous classification, neither ignoring it nor immediately calling ceasefire is correct. The system buys 30 seconds for verification while ensuring the range officer is aware and watching. 
The escalation to CRITICAL after 30s of unresolved ambiguity reflects the principle: if you can't confirm it's NOT a person, treat it as a person. 
The 30-second window is not a delay - it's a structured verification protocol. During those 30 seconds, the PTZ camera may resolve the ambiguity. If it doesn't, the system fails safe (ceasefire).</t>
  </si>
  <si>
    <t>Range status: HOT. Temperature 38°C, wind 5km/h. Camera covering mid-zone detects what appears to be a person standing at 250m. Detection confidence: 0.78 (HUMAN_LOW). 
The detection appears in the same location for 200+ frames (not moving). Cross-reference against known static objects: a range marker post exists at those coordinates (1.5m tall, painted dark). 
Thermal shows no elevated heat signature at the location - ambient temperature matches surroundings.</t>
  </si>
  <si>
    <t>System identifies position match with known static object (range marker post, within 2m). Thermal shows no human heat signature. Classification downgraded from HUMAN_LOW to ENVIRONMENTAL. Alert suppressed. Logged internally with note: "Detection at [grid ref] matches known static object (range marker). No thermal signature. Suppressed." If this is a new false positive source (first occurrence at this location), flag for addition to the known static objects database. If this is a recurring detection (&gt;5 times), auto-add to static objects with range officer confirmation.</t>
  </si>
  <si>
    <t>The multi-layer validation works here: the static object database catches the spatial match, and the thermal layer provides independent confirmation that there's no human present. Neither layer alone is sufficient - a person could be standing next to a range marker (spatial match but thermal positive), or a new object could have appeared that's not in the database (no spatial match). 
Both layers agreeing = high confidence false positive. The system does NOT alert the range officer, which is the correct behaviour - alerting on every range marker every session would destroy credibility.</t>
  </si>
  <si>
    <t>(1) How should the system handle the transition from CEASEFIRE to HOT when target operators are withdrawing from the danger zone? There's a window where operators are walking out but haven't cleared the zone boundary yet. Should the system enforce a "zone clear" confirmation before the range officer can declare HOT? This is an interlock design question.
(2) What is the acceptable false positive rate before range officers lose trust? Military research on alarm systems suggests &gt;20-25% false alarm rate leads to "cry wolf" syndrome within weeks. But for a life-safety system, even a 10% false positive rate means 1 in 10 alerts is wrong, which is 1 in 10 opportunities for the officer to develop dismissive habits. This tension is unresolvable by engineering alone - it requires training and culture.</t>
  </si>
  <si>
    <t>The system runs two YOLO classifiers in parallel each frame:
(a) Weapon classifier (custom model) — outputs weapon bounding boxes with track IDs via ByteTrack
(b) Person classifier (YOLO11) — outputs person bounding boxes with track IDs via ByteTrack
Signals that activate this use case:
- A baseline weapon track ID disappears (not detected in current frame)
- The weapon is confirmed missing only after absence is sustained across frames (track ID drops out of YOLO output)
Configurable thresholds (credentials.json):
- WEAPON_CONFIDENCE_THRESHOLD = 0.80 (minimum confidence to count as detected)
- PERSON_CONFIDENCE_THRESHOLD = 0.80
- T1_DURATION_THRESHOLD = seconds before T1 alert fires
- T2_DURATION_THRESHOLD = seconds for T2 grace period (occluded scenarios)
- NEAR_DISTANCE_PX = 200 px (radius defining 'person near weapon')
- ASSOCIATION_DISTANCE = auto-scaled to screen width (typ. 200–600 px)</t>
  </si>
  <si>
    <t>At the moment a weapon disappears, classify into one of three sub-scenarios based on associated person count and proximity:
SUB-SCENARIO A — 0 persons associated in ROI
  → proximity = 'none' or 'visible'
  → No one was near the weapon when it vanished
SUB-SCENARIO B — 1 person associated
  B1: Person is FAR from last known weapon position (&gt; ASSOCIATION_DISTANCE)
       → proximity = 'far' → likely weapon was carried out of frame
  B2: Person is NEAR last known weapon position (≤ NEAR_DISTANCE_PX)
       → proximity = 'near' → likely weapon is occluded by person
SUB-SCENARIO C — 2+ persons associated
  Subdivides dynamically as persons leave:
  - 2+ persons still near    → T2
  - 1 person remains near    → degrades to B2 logic (T2)
  - all persons gone         → degrades to A logic (T1)
Person count is tracked via weapon_person_lock (active) and missing_weapon_locks (after weapon disappears), keyed by weapon track ID.</t>
  </si>
  <si>
    <t>PolicyEvaluator.evaluate_visibility() returns (window_seconds, label, suppress) per sub-scenario:
Sub-Scenario A (no person)          → window = T1, label = 'UC-051(A: NoPerson→T1)'
Sub-Scenario B1 (1 person far)      → window = T1, label = 'UC-051(B1: Taken→T1)'
Sub-Scenario B2 (1 person near)     → window = T2, label = 'UC-051(B2: Occluded→T2)'
Sub-Scenario C (2+ persons near)    → suppress = True, no timer runs
Sub-Scenario C → 1 remains          → window = T2, label = 'UC-051(C→B: OneRemains→T2)'
Sub-Scenario C → all left           → window = T1, label = 'UC-051(C→A: AllLeft→T1)'
If weapon reappears at any point before window expires → all timers reset, no alert fired.
UC-052 (Boundary Violation) takes priority — if both fire, UC-052 wins and UC-051 is skipped for that weapon.</t>
  </si>
  <si>
    <t>On timer expiry (elapsed ≥ window_seconds):
1. Mark weapon state: alert_active = True, alert_start_frame = current frame
2. Set active_policy_label (e.g., 'UC-051(B2: Occluded→T2)')
3. Add HUD popup with mapped alarm category via PolicyEvaluator.alarm_category_for_label():
     'Weapon Missing' (Sub-Scenario A)
     'Weapon Taken'      (Sub-Scenario B1)
     'Weapon Occluded'   (Sub-Scenario B2 or C→B)
4. Play audio cue via PolicyEvaluator.beep_type_for_label():
     beep_type = 0 → alert_T1.wav (T1 paths — urgent tone)
     beep_type = 1 → alert_T2.wav (T2 paths — warning tone)
   Audio is rate-limited (BEEP_DELAY_SECONDS = 2.0s) to prevent overlap.
5. Draw YELLOW dashed box at last known weapon position with label 'Missing ID{wid} ({elapsed:.1f}s)'
6. Emit frame_and_state signal with state['alert_active'] = True for UI rendering
7. If SAVE_VIDEO_OUTPUT = true, write annotated frame to output_videos/{source}_{timestamp}.mp4</t>
  </si>
  <si>
    <t>Pre-alert validation (every frame while timer runs):
(a) Track ID confirmation — weapon must be missing across multiple frames (ByteTrack persistence prevents single-frame dropout false triggers)
(b) Reappearance remapping — if a new track ID appears within REAPPEAR_DISTANCE_PX (500 px) of the missing weapon's last position OR overlaps its last bounding box, transfer state to the new ID (cancels the pending alert and clears missing_start_frame)
(c) Window extension check — if proximity changes from 'far' (T1) to 'near' (T2) before T1 expires, reset alert_active flag so the longer T2 window applies
(d) Multi-person suppression refresh — if 2+ persons re-enter near the weapon while in Sub-Scenario C, force missing_start_frame = current_frame each tick (timer never advances)
Post-alert:
(a) Alert remains active until either:
     - Weapon reappears (track ID detected again within REAPPEAR_DISTANCE_PX of last known position)
     - Detection is stopped (S key) → tracker._prev_start_state resets, baseline recaptured on next start
(b) When weapon reappears: missing_start_frame, alert_active, alert_start_frame, and active_policy_label all cleared in tracker.weapon_states[wid]</t>
  </si>
  <si>
    <t>After alert is triggered:
(a) Alert stays on HUD until weapon reappears OR operator stops detection
(b) Console log records: ROI ID, weapon ID, policy label, elapsed time, T1/T2 thresholds, proximity state, locked person counts
(c) Annotated video continuously written to output_videos/ if SAVE_VIDEO_OUTPUT = true
(d) Multiple simultaneous alerts: each weapon ID has independent state — multiple categories can appear in HUD popups at once (deduplicated by alarm category set)
(e) Beep selection across multiple active alerts:
     If ANY active alert is T1 (urgent)     → play T1 cue
     Only if ALL active alerts are T2       → play T2 cue
(f) On detection toggle off (S key): tracker._prev_start_state = False, baseline will be recaptured on next start
(g) Session-level review: saved video file is the audit trail — operator can replay to verify each alert</t>
  </si>
  <si>
    <t># Per frame, per ROI, per baseline weapon:
ON each frame:
  FOR each tracker (ROI):
    detect weapons + persons via parallel YOLO inference
    # UC-052 has priority — check boundary crossings first
    IF weapon crossed ROI boundary outbound:
        tracker.boundary_alerts[wid] = {label: 'UC-052(...)', frame: N}
        SKIP UC-051 for this weapon
    FOR each baseline weapon wid:
      is_missing = wid NOT IN current_detected_weapon_ids
      IF is_missing:
        IF state.missing_start_frame is None:
          state.missing_start_frame = current_frame
        elapsed = (current_frame - state.missing_start_frame) / video_fps
        # Determine proximity and locked person count
        proximity, locked_count, near_count = compute_proximity(wid, persons_in_roi)
        # PolicyEvaluator.evaluate_visibility() decision
        IF locked_count &gt;= 2:
          IF near_count &gt;= 2:
            window = ∞ (SUPPRESS); reset missing_start_frame to current_frame
            label = 'UC-051(C: MultiPerson→Suppress)'
          ELIF near_count == 1:
            window = T2
            label = 'UC-051(C→B: OneRemains→T2)'
          ELSE:
            window = T1
            label = 'UC-051(C→A: AllLeft→T1)'
        ELIF proximity IN ('none', 'visible'):
          window = T1
          label = 'UC-051(A: NoPerson→T1)'
        ELIF proximity == 'far':
          window = T1
          label = 'UC-051(B1: Taken→T1)'
        ELSE:  # proximity == 'near'
          window = T2
          label = 'UC-051(B2: Occluded→T2)'
        # Trigger alert if window exceeded
        IF elapsed &gt;= window AND NOT state.alert_active:
          state.alert_active = True
          state.active_policy_label = label
          fire_alert(category, beep_type)
      ELSE:  # weapon visible — reset all timer state
        state.missing_start_frame = None
        state.alert_active = False
        state.active_policy_label = None
END</t>
  </si>
  <si>
    <t>(a) &gt;25% dismissed alerts → T1 too short, weapon retrieval occurring before expiry
(b) Post-session footage shows unaccounted weapon, no alert → detection dropout or T1 too long
(c) Repeated T2 expiry without person leaving → person tracking losing subjects in zone
(d) Alert fires then weapon immediately reappears → T1 shorter than retrieval cycle</t>
  </si>
  <si>
    <t>(a) Monthly staged test: all sub-scenarios, verify correct timer and alert behaviour
(b) Quarterly T1/T2 threshold review based on confirmed vs dismissed alerts
(c) Per-session automated log review for unresolved visibility events</t>
  </si>
  <si>
    <t>The system maintains a per-weapon previous-frame ROI containment flag (tracker.weapon_prev_inside[wid]) for every tracked weapon. Each frame, the weapon's CENTER point is tested against the ROI polygon using cv2.pointPolygonTest with a bounding-box pre-filter for speed.
Signals that activate this use case:
- A weapon's center transitions from INSIDE the ROI polygon (previous frame) to OUTSIDE the ROI polygon (current frame)
- The weapon must be currently detected (visible) for crossing to register — an undetected weapon defers to UC-051
ROI configuration:
- ROI polygons loaded at startup from roi_coord/{video_name}.json
- Coordinates stored normalized (0-1) relative to original frame size, denormalized at load
- Supports multi-ROI per camera (each ROI has its own ROITracker instance)
- Bounding box of polygon is cached for fast point-in-polygon pre-filtering
Configurable thresholds (credentials.json):
- WEAPON_CONFIDENCE_THRESHOLD = 0.25
- ASSOCIATION_DISTANCE (used only to determine person-association context at crossing)
- No timer thresholds — UC-052 is always immediate (T1 = 0)</t>
  </si>
  <si>
    <t>All boundary crossings are CRITICAL severity — no severity gradation. Any outbound boundary crossing is equally unacceptable regardless of speed, distance, or person association.
Person association at crossing is captured for incident context only (does NOT affect alert timing):
ASSOCIATED — a person was detected within ASSOCIATION_DISTANCE of the weapon's last known position at crossing time
  → label = 'UC-052(Movement: Associated→IMMEDIATE)'
  → Most likely: weapon was carried deliberately across the boundary
UNASSOCIATED — no person was within ASSOCIATION_DISTANCE of the weapon at crossing
  → label = 'UC-052(Movement: Unassociated→IMMEDIATE)'
  → Most likely: weapon was thrown, kicked, or slid across the boundary
Inbound crossings (OUTSIDE → INSIDE) are logged but NOT alerted — only outbound crossings trigger alerts.</t>
  </si>
  <si>
    <t>PolicyEvaluator.evaluate_movement(prev_inside, curr_inside, has_person_associated) returns (immediate_alert, label):
IF prev_inside == True AND curr_inside == False:
    immediate_alert = True
    label = 'UC-052(Movement: Associated→IMMEDIATE)' if has_person else 'UC-052(Movement: Unassociated→IMMEDIATE)'
ELSE:
    immediate_alert = False  (no crossing, or inbound)
ALL crossings → IMMEDIATE alert. No timer. No grace period. No conditions.
UC-052 HAS HIGHEST PRIORITY:
- If a weapon has a pending boundary alert in tracker.boundary_alerts, UC-051 evaluation is SKIPPED for that weapon
- Boundary alert persists in tracker.boundary_alerts until baseline is recaptured (operator equivalent of acknowledgement)</t>
  </si>
  <si>
    <t>On outbound boundary crossing detection (in _check_boundary_crossings):
1. Add entry to tracker.boundary_alerts[wid]:
     {'label': '&lt;UC-052 label&gt;', 'frame': current_frame, 'associated': bool}
2. In _process_roi_detections, the boundary alert is detected BEFORE UC-051 timer logic:
     state_w['alert_active'] = True
     state_w['alert_start_frame'] = boundary_alert.frame
     state_w['active_policy_label'] = boundary_alert.label
3. HUD popup added with category 'Weapon Boundary Violation' (mapped via PolicyEvaluator.alarm_category_for_label)
4. Audio cue: beep_type = 0 → alert_T1.wav (always urgent, never T2)
5. Draw MAGENTA dashed box at last known position with label 'BOUNDARY ID{wid}' (distinct from yellow missing boxes used by UC-051)
6. Console log entry:
     [UC-052] ROI {roi_id} Weapon {wid} BOUNDARY VIOLATION | {label} | associated={bool} | frame={N}
7. Annotated frame written to saved video output if enabled
8. Update tracker.weapon_prev_inside[wid] = False so the next frame's check uses correct state</t>
  </si>
  <si>
    <t>Pre-alert validation (inside _check_boundary_crossings):
(a) Polygon required — if tracker.polygon is None (full-frame mode), UC-052 evaluation is skipped (no boundary defined)
(b) Movement policy must be enabled — self.policy.movement_enabled must be True
(c) Weapon must be currently visible — if wid not in weapons_by_id (detected this frame), UC-052 cannot confirm a crossing for this frame; prev_inside is NOT updated, deferring to UC-051
(d) Person association resolved at last known position (tracker.last_known_stationary_boxes[wid]) when available, falling back to current detected center
Post-alert:
(a) tracker.boundary_alerts[wid] persists across frames — the alert is not auto-cleared by re-entry
(b) Per UC-052 spec, alert remains until operator acknowledgement; current implementation treats baseline recapture (detection toggle OFF → ON) as implicit acknowledgement
(c) If weapon re-enters ROI while alert is pending, prev_inside flips back to True but the existing boundary_alert entry is unaffected</t>
  </si>
  <si>
    <t>After boundary violation alert:
(a) Boundary alert badge persists on HUD until operator stops/restarts detection (clears tracker state via reset_baseline)
(b) Magenta dashed box remains drawn at last known weapon position even if weapon is no longer detected
(c) Console log preserves the crossing event with full context (ROI, weapon ID, frame, person association)
(d) Saved video file contains the crossing moment, providing audit trail with trajectory visible
(e) Multiple simultaneous violations: each weapon ID has its own entry in tracker.boundary_alerts — multiple weapons crossing the same or different boundaries fire independent alerts
(f) UC-052 alarm category 'Weapon Boundary Violation' is shown distinctly in the HUD popup list, separate from UC-051 categories
(g) Beep priority: any UC-052 alert always wins beep selection (T1 cue) over UC-051 T2 cues, ensuring boundary violations are sonically distinct from occlusion warnings
(h) Operator acknowledgement = pressing S to stop detection, then S to start again (this clears tracker.boundary_alerts via baseline recapture)</t>
  </si>
  <si>
    <t># UC-052 boundary crossing check — runs FIRST every frame, before UC-051
ON EXERCISE_START / detection enabled:
  LOAD ROI polygons from roi_coord/{video_name}.json
  FOR each weapon in baseline:
    tracker.weapon_prev_inside[wid] = True  # baseline is inside ROI by definition
ON each frame (in _check_boundary_crossings):
  IF tracker.polygon is None OR NOT policy.movement_enabled:
    RETURN []  # skip — no boundary to monitor
  weapons_by_id = {b[6]: b for b in all_weapon_boxes if b[6] is not None}
  candidate_ids = visible_weapon_ids ∪ prev_inside_keys ∪ baseline_ids
  FOR each wid in candidate_ids:
    prev_inside = tracker.weapon_prev_inside.get(wid, False)
    IF wid NOT IN weapons_by_id:
      # Weapon not visible this frame — UC-051 handles it, do NOT update prev_inside
      CONTINUE
    wbox = weapons_by_id[wid]
    curr_inside = tracker.point_in_roi_fast(wbox.center)
    # Resolve person association ONLY at crossing moment
    has_person = False
    IF curr_inside == False AND prev_inside == True:  # outbound crossing
      w_center = tracker.last_known_stationary_boxes.get(wid, wbox.center)
      FOR p_box in persons_in_roi:
        IF distance(p_box.center, w_center) &lt;= ASSOCIATION_DISTANCE:
          has_person = True
          BREAK
    # Delegate decision to PolicyEvaluator.evaluate_movement()
    fires, label = policy.evaluate_movement(prev_inside, curr_inside, has_person)
    IF fires AND wid NOT IN tracker.boundary_alerts:
      tracker.boundary_alerts[wid] = {
        'label': label,
        'frame': tracker.frame_count,
        'associated': has_person
      }
      LOG '[UC-052] BOUNDARY VIOLATION ...'
    tracker.weapon_prev_inside[wid] = curr_inside  # update for next frame
# Then in main per-weapon loop in _process_roi_detections:
FOR each wid in baseline:
  IF wid IN tracker.boundary_alerts:
    ba = tracker.boundary_alerts[wid]
    state.alert_active = True
    state.active_policy_label = ba.label
    CONTINUE  # UC-052 wins — skip UC-051 for this weapon
  # ... else fall through to UC-051 timer evaluation ...</t>
  </si>
  <si>
    <t>(a) Any staged crossing test produces a miss → immediate failure investigation
(b) False positive rate &gt;15% at specific boundary segment → calibration/parallax issue
(c) Alert latency &gt;2s → tracking pipeline delay
(d) Operator mass-acknowledging without review → alert fatigue from false positives</t>
  </si>
  <si>
    <t>(a) Quarterly staged crossing test: each boundary segment, with and without person association, verify 100% detection and &lt;1s latency
(b) Monthly false positive audit: review dismissed alerts, identify problematic boundary segments
(c) Annual boundary definition review: verify camera coverage of all segments, update for physical changes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</si>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</sst>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24">
    <font>
      <sz val="11.0"/>
      <color theme="1"/>
      <name val="Calibri"/>
      <scheme val="minor"/>
    </font>
    <font>
      <b/>
      <sz val="13.0"/>
      <color rgb="FF1B2A4A"/>
      <name val="Arial"/>
    </font>
    <font>
      <sz val="11.0"/>
      <color rgb="FF444444"/>
      <name val="Arial"/>
    </font>
    <font>
      <b/>
      <sz val="11.0"/>
      <color rgb="FFFFFFFF"/>
      <name val="Arial"/>
    </font>
    <font>
      <sz val="10.0"/>
      <color rgb="FF333333"/>
      <name val="Arial"/>
    </font>
    <font>
      <b/>
      <sz val="10.0"/>
      <color rgb="FF1B5E20"/>
      <name val="Arial"/>
    </font>
    <font>
      <b/>
      <sz val="10.0"/>
      <color rgb="FFB71C1C"/>
      <name val="Arial"/>
    </font>
    <font>
      <b/>
      <sz val="10.0"/>
      <color rgb="FFE65100"/>
      <name val="Arial"/>
    </font>
    <font>
      <color rgb="FF333333"/>
      <name val="Arial"/>
    </font>
    <font>
      <b/>
      <color rgb="FF1B5E20"/>
      <name val="Arial"/>
    </font>
    <font>
      <color rgb="FFFF0000"/>
      <name val="Arial"/>
    </font>
    <font>
      <color theme="1"/>
      <name val="Calibri"/>
      <scheme val="minor"/>
    </font>
    <font>
      <b/>
      <sz val="10.0"/>
      <color rgb="FF333333"/>
      <name val="Arial"/>
    </font>
    <font>
      <b/>
      <sz val="12.0"/>
      <color rgb="FF1B2A4A"/>
      <name val="Arial"/>
    </font>
    <font>
      <b/>
      <color theme="1"/>
      <name val="Calibri"/>
      <scheme val="minor"/>
    </font>
    <font>
      <sz val="11.0"/>
      <color rgb="FF1F1F1F"/>
      <name val="&quot;Google Sans&quot;"/>
    </font>
    <font>
      <b/>
      <sz val="11.0"/>
      <color rgb="FFB45309"/>
      <name val="Arial"/>
    </font>
    <font/>
    <font>
      <sz val="11.0"/>
      <color theme="1"/>
      <name val="Calibri"/>
    </font>
    <font>
      <b/>
      <sz val="11.0"/>
      <color rgb="FF1B2A4A"/>
      <name val="Arial"/>
    </font>
    <font>
      <b/>
      <sz val="10.0"/>
      <color rgb="FF1B2A4A"/>
      <name val="Arial"/>
    </font>
    <font>
      <sz val="10.0"/>
      <color rgb="FF1565C0"/>
      <name val="Arial"/>
    </font>
    <font>
      <u/>
      <sz val="10.0"/>
      <color rgb="FF0000FF"/>
      <name val="Arial"/>
    </font>
    <font>
      <b/>
      <color rgb="FF1B2A4A"/>
      <name val="Arial"/>
    </font>
  </fonts>
  <fills count="18">
    <fill>
      <patternFill patternType="none"/>
    </fill>
    <fill>
      <patternFill patternType="lightGray"/>
    </fill>
    <fill>
      <patternFill patternType="solid">
        <fgColor rgb="FF1B2A4A"/>
        <bgColor rgb="FF1B2A4A"/>
      </patternFill>
    </fill>
    <fill>
      <patternFill patternType="solid">
        <fgColor rgb="FF1B5E20"/>
        <bgColor rgb="FF1B5E20"/>
      </patternFill>
    </fill>
    <fill>
      <patternFill patternType="solid">
        <fgColor rgb="FFE8F5E9"/>
        <bgColor rgb="FFE8F5E9"/>
      </patternFill>
    </fill>
    <fill>
      <patternFill patternType="solid">
        <fgColor rgb="FFFCE4EC"/>
        <bgColor rgb="FFFCE4EC"/>
      </patternFill>
    </fill>
    <fill>
      <patternFill patternType="solid">
        <fgColor rgb="FFFFF8E1"/>
        <bgColor rgb="FFFFF8E1"/>
      </patternFill>
    </fill>
    <fill>
      <patternFill patternType="solid">
        <fgColor rgb="FFB71C1C"/>
        <bgColor rgb="FFB71C1C"/>
      </patternFill>
    </fill>
    <fill>
      <patternFill patternType="solid">
        <fgColor rgb="FF4A148C"/>
        <bgColor rgb="FF4A148C"/>
      </patternFill>
    </fill>
    <fill>
      <patternFill patternType="solid">
        <fgColor rgb="FFE65100"/>
        <bgColor rgb="FFE65100"/>
      </patternFill>
    </fill>
    <fill>
      <patternFill patternType="solid">
        <fgColor rgb="FF01579B"/>
        <bgColor rgb="FF01579B"/>
      </patternFill>
    </fill>
    <fill>
      <patternFill patternType="solid">
        <fgColor rgb="FF33691E"/>
        <bgColor rgb="FF33691E"/>
      </patternFill>
    </fill>
    <fill>
      <patternFill patternType="solid">
        <fgColor rgb="FF4E342E"/>
        <bgColor rgb="FF4E342E"/>
      </patternFill>
    </fill>
    <fill>
      <patternFill patternType="solid">
        <fgColor rgb="FF880E4F"/>
        <bgColor rgb="FF880E4F"/>
      </patternFill>
    </fill>
    <fill>
      <patternFill patternType="solid">
        <fgColor rgb="FF006064"/>
        <bgColor rgb="FF006064"/>
      </patternFill>
    </fill>
    <fill>
      <patternFill patternType="solid">
        <fgColor rgb="FFFEF3C7"/>
        <bgColor rgb="FFFEF3C7"/>
      </patternFill>
    </fill>
    <fill>
      <patternFill patternType="solid">
        <fgColor rgb="FFFFF9E6"/>
        <bgColor rgb="FFFFF9E6"/>
      </patternFill>
    </fill>
    <fill>
      <patternFill patternType="solid">
        <fgColor rgb="FF2D4A7A"/>
        <bgColor rgb="FF2D4A7A"/>
      </patternFill>
    </fill>
  </fills>
  <borders count="13">
    <border/>
    <border>
      <left style="thin">
        <color rgb="FFB0BEC5"/>
      </left>
      <right style="thin">
        <color rgb="FFB0BEC5"/>
      </right>
      <top style="thin">
        <color rgb="FFB0BEC5"/>
      </top>
      <bottom style="thin">
        <color rgb="FFB0BEC5"/>
      </bottom>
    </border>
    <border>
      <left style="thin">
        <color rgb="FFB0BEC5"/>
      </left>
      <top style="thin">
        <color rgb="FFB0BEC5"/>
      </top>
      <bottom style="thin">
        <color rgb="FFB0BEC5"/>
      </bottom>
    </border>
    <border>
      <top style="thin">
        <color rgb="FFB0BEC5"/>
      </top>
      <bottom style="thin">
        <color rgb="FFB0BEC5"/>
      </bottom>
    </border>
    <border>
      <right style="thin">
        <color rgb="FFB0BEC5"/>
      </right>
      <top style="thin">
        <color rgb="FFB0BEC5"/>
      </top>
      <bottom style="thin">
        <color rgb="FFB0BEC5"/>
      </bottom>
    </border>
    <border>
      <left style="thin">
        <color rgb="FFB0BEC5"/>
      </left>
      <top style="thin">
        <color rgb="FFB0BEC5"/>
      </top>
    </border>
    <border>
      <top style="thin">
        <color rgb="FFB0BEC5"/>
      </top>
    </border>
    <border>
      <right style="thin">
        <color rgb="FFB0BEC5"/>
      </right>
      <top style="thin">
        <color rgb="FFB0BEC5"/>
      </top>
    </border>
    <border>
      <left/>
      <right/>
      <top/>
      <bottom/>
    </border>
    <border>
      <left style="medium">
        <color rgb="FFE6C200"/>
      </left>
      <right style="medium">
        <color rgb="FFE6C200"/>
      </right>
      <top style="medium">
        <color rgb="FFE6C200"/>
      </top>
      <bottom style="medium">
        <color rgb="FFE6C200"/>
      </bottom>
    </border>
    <border>
      <left/>
      <top/>
      <bottom/>
    </border>
    <border>
      <top/>
      <bottom/>
    </border>
    <border>
      <right/>
      <top/>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2" fontId="3" numFmtId="0" xfId="0" applyAlignment="1" applyFill="1" applyFont="1">
      <alignment horizontal="center" readingOrder="0" shrinkToFit="0" vertical="center" wrapText="1"/>
    </xf>
    <xf borderId="1" fillId="2" fontId="3" numFmtId="0" xfId="0" applyAlignment="1" applyBorder="1" applyFont="1">
      <alignment horizontal="center" shrinkToFit="0" vertical="center" wrapText="1"/>
    </xf>
    <xf borderId="1" fillId="2" fontId="3" numFmtId="0" xfId="0" applyAlignment="1" applyBorder="1" applyFont="1">
      <alignment horizontal="center" readingOrder="0" shrinkToFit="0" vertical="center" wrapText="1"/>
    </xf>
    <xf borderId="0" fillId="3" fontId="3" numFmtId="0" xfId="0" applyAlignment="1" applyFill="1" applyFont="1">
      <alignment horizontal="left" vertical="center"/>
    </xf>
    <xf borderId="2" fillId="3" fontId="3" numFmtId="0" xfId="0" applyAlignment="1" applyBorder="1" applyFont="1">
      <alignment horizontal="left" vertical="center"/>
    </xf>
    <xf borderId="3" fillId="3" fontId="3" numFmtId="0" xfId="0" applyAlignment="1" applyBorder="1" applyFont="1">
      <alignment horizontal="left" vertical="center"/>
    </xf>
    <xf borderId="4" fillId="3" fontId="3" numFmtId="0" xfId="0" applyAlignment="1" applyBorder="1" applyFont="1">
      <alignment horizontal="left" vertical="center"/>
    </xf>
    <xf borderId="0" fillId="0" fontId="4" numFmtId="0" xfId="0" applyAlignment="1" applyFont="1">
      <alignment horizontal="center" readingOrder="0"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4" fontId="5" numFmtId="0" xfId="0" applyAlignment="1" applyBorder="1" applyFill="1" applyFont="1">
      <alignment horizontal="left" shrinkToFit="0" vertical="top" wrapText="1"/>
    </xf>
    <xf borderId="1" fillId="4" fontId="4" numFmtId="0" xfId="0" applyAlignment="1" applyBorder="1" applyFont="1">
      <alignment horizontal="left" shrinkToFit="0" vertical="top" wrapText="1"/>
    </xf>
    <xf borderId="1" fillId="5" fontId="6" numFmtId="0" xfId="0" applyAlignment="1" applyBorder="1" applyFill="1" applyFont="1">
      <alignment horizontal="left" shrinkToFit="0" vertical="top" wrapText="1"/>
    </xf>
    <xf borderId="1" fillId="5" fontId="4" numFmtId="0" xfId="0" applyAlignment="1" applyBorder="1" applyFont="1">
      <alignment horizontal="left" shrinkToFit="0" vertical="top" wrapText="1"/>
    </xf>
    <xf borderId="1" fillId="6" fontId="7" numFmtId="0" xfId="0" applyAlignment="1" applyBorder="1" applyFill="1" applyFont="1">
      <alignment horizontal="left" shrinkToFit="0" vertical="top" wrapText="1"/>
    </xf>
    <xf borderId="1" fillId="6" fontId="4" numFmtId="0" xfId="0" applyAlignment="1" applyBorder="1" applyFont="1">
      <alignment horizontal="left" shrinkToFit="0" vertical="top" wrapText="1"/>
    </xf>
    <xf borderId="0" fillId="7" fontId="3" numFmtId="0" xfId="0" applyAlignment="1" applyFill="1" applyFont="1">
      <alignment horizontal="left" vertical="center"/>
    </xf>
    <xf borderId="2" fillId="7" fontId="3" numFmtId="0" xfId="0" applyAlignment="1" applyBorder="1" applyFont="1">
      <alignment horizontal="left" vertical="center"/>
    </xf>
    <xf borderId="3" fillId="7" fontId="3" numFmtId="0" xfId="0" applyAlignment="1" applyBorder="1" applyFont="1">
      <alignment horizontal="left" vertical="center"/>
    </xf>
    <xf borderId="4" fillId="7" fontId="3" numFmtId="0" xfId="0" applyAlignment="1" applyBorder="1" applyFont="1">
      <alignment horizontal="left" vertical="center"/>
    </xf>
    <xf borderId="0" fillId="0" fontId="4" numFmtId="0" xfId="0" applyAlignment="1" applyFont="1">
      <alignment horizontal="center" shrinkToFit="0" vertical="top" wrapText="1"/>
    </xf>
    <xf borderId="0" fillId="8" fontId="3" numFmtId="0" xfId="0" applyAlignment="1" applyFill="1" applyFont="1">
      <alignment horizontal="left" vertical="center"/>
    </xf>
    <xf borderId="2" fillId="8" fontId="3" numFmtId="0" xfId="0" applyAlignment="1" applyBorder="1" applyFont="1">
      <alignment horizontal="left" vertical="center"/>
    </xf>
    <xf borderId="3" fillId="8" fontId="3" numFmtId="0" xfId="0" applyAlignment="1" applyBorder="1" applyFont="1">
      <alignment horizontal="left" vertical="center"/>
    </xf>
    <xf borderId="4" fillId="8" fontId="3" numFmtId="0" xfId="0" applyAlignment="1" applyBorder="1" applyFont="1">
      <alignment horizontal="left" vertical="center"/>
    </xf>
    <xf borderId="0" fillId="9" fontId="3" numFmtId="0" xfId="0" applyAlignment="1" applyFill="1" applyFont="1">
      <alignment horizontal="left" vertical="center"/>
    </xf>
    <xf borderId="2" fillId="9" fontId="3" numFmtId="0" xfId="0" applyAlignment="1" applyBorder="1" applyFont="1">
      <alignment horizontal="left" vertical="center"/>
    </xf>
    <xf borderId="3" fillId="9" fontId="3" numFmtId="0" xfId="0" applyAlignment="1" applyBorder="1" applyFont="1">
      <alignment horizontal="left" vertical="center"/>
    </xf>
    <xf borderId="4" fillId="9" fontId="3" numFmtId="0" xfId="0" applyAlignment="1" applyBorder="1" applyFont="1">
      <alignment horizontal="left" vertical="center"/>
    </xf>
    <xf borderId="0" fillId="10" fontId="3" numFmtId="0" xfId="0" applyAlignment="1" applyFill="1" applyFont="1">
      <alignment horizontal="left" vertical="center"/>
    </xf>
    <xf borderId="2" fillId="10" fontId="3" numFmtId="0" xfId="0" applyAlignment="1" applyBorder="1" applyFont="1">
      <alignment horizontal="left" vertical="center"/>
    </xf>
    <xf borderId="3" fillId="10" fontId="3" numFmtId="0" xfId="0" applyAlignment="1" applyBorder="1" applyFont="1">
      <alignment horizontal="left" vertical="center"/>
    </xf>
    <xf borderId="4" fillId="10" fontId="3" numFmtId="0" xfId="0" applyAlignment="1" applyBorder="1" applyFont="1">
      <alignment horizontal="left" vertical="center"/>
    </xf>
    <xf borderId="0" fillId="11" fontId="3" numFmtId="0" xfId="0" applyAlignment="1" applyFill="1" applyFont="1">
      <alignment horizontal="left" vertical="center"/>
    </xf>
    <xf borderId="2" fillId="11" fontId="3" numFmtId="0" xfId="0" applyAlignment="1" applyBorder="1" applyFont="1">
      <alignment horizontal="left" vertical="center"/>
    </xf>
    <xf borderId="3" fillId="11" fontId="3" numFmtId="0" xfId="0" applyAlignment="1" applyBorder="1" applyFont="1">
      <alignment horizontal="left" vertical="center"/>
    </xf>
    <xf borderId="4" fillId="11" fontId="3" numFmtId="0" xfId="0" applyAlignment="1" applyBorder="1" applyFont="1">
      <alignment horizontal="left" vertical="center"/>
    </xf>
    <xf borderId="0" fillId="12" fontId="3" numFmtId="0" xfId="0" applyAlignment="1" applyFill="1" applyFont="1">
      <alignment horizontal="left" vertical="center"/>
    </xf>
    <xf borderId="2" fillId="12" fontId="3" numFmtId="0" xfId="0" applyAlignment="1" applyBorder="1" applyFont="1">
      <alignment horizontal="left" vertical="center"/>
    </xf>
    <xf borderId="3" fillId="12" fontId="3" numFmtId="0" xfId="0" applyAlignment="1" applyBorder="1" applyFont="1">
      <alignment horizontal="left" vertical="center"/>
    </xf>
    <xf borderId="4" fillId="12" fontId="3" numFmtId="0" xfId="0" applyAlignment="1" applyBorder="1" applyFont="1">
      <alignment horizontal="left" vertical="center"/>
    </xf>
    <xf borderId="1" fillId="5" fontId="4" numFmtId="0" xfId="0" applyAlignment="1" applyBorder="1" applyFont="1">
      <alignment horizontal="left" readingOrder="0" shrinkToFit="0" vertical="top" wrapText="1"/>
    </xf>
    <xf borderId="0" fillId="13" fontId="3" numFmtId="0" xfId="0" applyAlignment="1" applyFill="1" applyFont="1">
      <alignment horizontal="left" vertical="center"/>
    </xf>
    <xf borderId="2" fillId="13" fontId="3" numFmtId="0" xfId="0" applyAlignment="1" applyBorder="1" applyFont="1">
      <alignment horizontal="left" vertical="center"/>
    </xf>
    <xf borderId="3" fillId="13" fontId="3" numFmtId="0" xfId="0" applyAlignment="1" applyBorder="1" applyFont="1">
      <alignment horizontal="left" vertical="center"/>
    </xf>
    <xf borderId="4" fillId="13" fontId="3" numFmtId="0" xfId="0" applyAlignment="1" applyBorder="1" applyFont="1">
      <alignment horizontal="left" vertical="center"/>
    </xf>
    <xf borderId="0" fillId="14" fontId="3" numFmtId="0" xfId="0" applyAlignment="1" applyFill="1" applyFont="1">
      <alignment horizontal="left" vertical="center"/>
    </xf>
    <xf borderId="2" fillId="14" fontId="3" numFmtId="0" xfId="0" applyAlignment="1" applyBorder="1" applyFont="1">
      <alignment horizontal="left" vertical="center"/>
    </xf>
    <xf borderId="3" fillId="14" fontId="3" numFmtId="0" xfId="0" applyAlignment="1" applyBorder="1" applyFont="1">
      <alignment horizontal="left" vertical="center"/>
    </xf>
    <xf borderId="4" fillId="14" fontId="3" numFmtId="0" xfId="0" applyAlignment="1" applyBorder="1" applyFont="1">
      <alignment horizontal="left" vertical="center"/>
    </xf>
    <xf borderId="5" fillId="14" fontId="3" numFmtId="0" xfId="0" applyAlignment="1" applyBorder="1" applyFont="1">
      <alignment horizontal="left" readingOrder="0" vertical="center"/>
    </xf>
    <xf borderId="6" fillId="14" fontId="3" numFmtId="0" xfId="0" applyAlignment="1" applyBorder="1" applyFont="1">
      <alignment horizontal="left" vertical="center"/>
    </xf>
    <xf borderId="7" fillId="14" fontId="3" numFmtId="0" xfId="0" applyAlignment="1" applyBorder="1" applyFont="1">
      <alignment horizontal="left" vertical="center"/>
    </xf>
    <xf borderId="0" fillId="0" fontId="8"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xf borderId="8" fillId="4" fontId="9" numFmtId="0" xfId="0" applyAlignment="1" applyBorder="1" applyFont="1">
      <alignment shrinkToFit="0" vertical="top" wrapText="1"/>
    </xf>
    <xf borderId="8" fillId="4" fontId="8" numFmtId="0" xfId="0" applyAlignment="1" applyBorder="1" applyFont="1">
      <alignment shrinkToFit="0" vertical="top" wrapText="1"/>
    </xf>
    <xf borderId="0" fillId="0" fontId="8" numFmtId="0" xfId="0" applyAlignment="1" applyFont="1">
      <alignment shrinkToFit="0" vertical="top" wrapText="1"/>
    </xf>
    <xf borderId="0" fillId="0" fontId="10" numFmtId="0" xfId="0" applyAlignment="1" applyFont="1">
      <alignment shrinkToFit="0" vertical="top" wrapText="1"/>
    </xf>
    <xf borderId="8" fillId="4" fontId="8" numFmtId="0" xfId="0" applyAlignment="1" applyBorder="1" applyFont="1">
      <alignment shrinkToFit="0" vertical="top" wrapText="1"/>
    </xf>
    <xf borderId="0" fillId="0" fontId="4" numFmtId="0" xfId="0" applyAlignment="1" applyFont="1">
      <alignment horizontal="left" readingOrder="0" shrinkToFit="0" vertical="top" wrapText="1"/>
    </xf>
    <xf borderId="0" fillId="0" fontId="11" numFmtId="0" xfId="0" applyFont="1"/>
    <xf borderId="0" fillId="4" fontId="5" numFmtId="0" xfId="0" applyAlignment="1" applyFont="1">
      <alignment horizontal="left" shrinkToFit="0" vertical="top" wrapText="1"/>
    </xf>
    <xf borderId="1" fillId="4" fontId="4" numFmtId="0" xfId="0" applyBorder="1" applyFont="1"/>
    <xf borderId="1" fillId="0" fontId="4" numFmtId="0" xfId="0" applyAlignment="1" applyBorder="1" applyFont="1">
      <alignment horizontal="center" shrinkToFit="0" vertical="center" wrapText="1"/>
    </xf>
    <xf borderId="1" fillId="5" fontId="4" numFmtId="0" xfId="0" applyBorder="1" applyFont="1"/>
    <xf borderId="1" fillId="6" fontId="4" numFmtId="0" xfId="0" applyBorder="1" applyFont="1"/>
    <xf borderId="1" fillId="0" fontId="12" numFmtId="0" xfId="0" applyBorder="1" applyFont="1"/>
    <xf borderId="1" fillId="0" fontId="12" numFmtId="0" xfId="0" applyAlignment="1" applyBorder="1" applyFont="1">
      <alignment horizontal="center" shrinkToFit="0" vertical="center" wrapText="1"/>
    </xf>
    <xf borderId="0" fillId="0" fontId="13" numFmtId="0" xfId="0" applyFont="1"/>
    <xf borderId="0" fillId="0" fontId="14" numFmtId="0" xfId="0" applyAlignment="1" applyFont="1">
      <alignment readingOrder="0"/>
    </xf>
    <xf borderId="0" fillId="0" fontId="11" numFmtId="0" xfId="0" applyAlignment="1" applyFont="1">
      <alignment readingOrder="0"/>
    </xf>
    <xf borderId="0" fillId="0" fontId="15" numFmtId="0" xfId="0" applyAlignment="1" applyFont="1">
      <alignment readingOrder="0"/>
    </xf>
    <xf borderId="2" fillId="15" fontId="16" numFmtId="0" xfId="0" applyAlignment="1" applyBorder="1" applyFill="1" applyFont="1">
      <alignment horizontal="center" readingOrder="0" vertical="center"/>
    </xf>
    <xf borderId="3" fillId="0" fontId="17" numFmtId="0" xfId="0" applyBorder="1" applyFont="1"/>
    <xf borderId="4" fillId="0" fontId="17" numFmtId="0" xfId="0" applyBorder="1" applyFont="1"/>
    <xf borderId="1" fillId="0" fontId="18" numFmtId="0" xfId="0" applyBorder="1" applyFont="1"/>
    <xf borderId="1" fillId="0" fontId="19" numFmtId="0" xfId="0" applyAlignment="1" applyBorder="1" applyFont="1">
      <alignment horizontal="right" vertical="center"/>
    </xf>
    <xf borderId="9" fillId="16" fontId="13" numFmtId="0" xfId="0" applyAlignment="1" applyBorder="1" applyFill="1" applyFont="1">
      <alignment horizontal="center" readingOrder="0" vertical="center"/>
    </xf>
    <xf borderId="1" fillId="17" fontId="3" numFmtId="0" xfId="0" applyAlignment="1" applyBorder="1" applyFill="1" applyFont="1">
      <alignment horizontal="left" vertical="center"/>
    </xf>
    <xf borderId="1" fillId="0" fontId="20"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2" fillId="17" fontId="3" numFmtId="0" xfId="0" applyAlignment="1" applyBorder="1" applyFont="1">
      <alignment horizontal="left" readingOrder="0" vertical="center"/>
    </xf>
    <xf borderId="2" fillId="17" fontId="3" numFmtId="0" xfId="0" applyAlignment="1" applyBorder="1" applyFont="1">
      <alignment horizontal="left" vertical="center"/>
    </xf>
    <xf borderId="1" fillId="0" fontId="20" numFmtId="0" xfId="0" applyAlignment="1" applyBorder="1" applyFont="1">
      <alignment horizontal="left" readingOrder="0" shrinkToFit="0" vertical="top" wrapText="1"/>
    </xf>
    <xf borderId="0" fillId="0" fontId="11" numFmtId="0" xfId="0" applyAlignment="1" applyFont="1">
      <alignment shrinkToFit="0" vertical="center" wrapText="1"/>
    </xf>
    <xf borderId="0" fillId="0" fontId="11" numFmtId="0" xfId="0" applyAlignment="1" applyFont="1">
      <alignment shrinkToFit="0" wrapText="1"/>
    </xf>
    <xf borderId="0" fillId="0" fontId="11" numFmtId="0" xfId="0" applyAlignment="1" applyFont="1">
      <alignment readingOrder="0" shrinkToFit="0" vertical="center" wrapText="1"/>
    </xf>
    <xf borderId="0" fillId="0" fontId="11" numFmtId="0" xfId="0" applyAlignment="1" applyFont="1">
      <alignment vertical="center"/>
    </xf>
    <xf borderId="0" fillId="0" fontId="11" numFmtId="0" xfId="0" applyAlignment="1" applyFont="1">
      <alignment readingOrder="0" vertical="center"/>
    </xf>
    <xf borderId="0" fillId="0" fontId="11" numFmtId="0" xfId="0" applyAlignment="1" applyFont="1">
      <alignment readingOrder="0" shrinkToFit="0" wrapText="1"/>
    </xf>
    <xf borderId="1" fillId="0" fontId="4" numFmtId="164" xfId="0" applyAlignment="1" applyBorder="1" applyFont="1" applyNumberFormat="1">
      <alignment horizontal="left" readingOrder="0" shrinkToFit="0" vertical="top" wrapText="1"/>
    </xf>
    <xf borderId="1" fillId="17" fontId="3" numFmtId="0" xfId="0" applyAlignment="1" applyBorder="1" applyFont="1">
      <alignment horizontal="left" readingOrder="0" vertical="center"/>
    </xf>
    <xf borderId="1" fillId="0" fontId="22" numFmtId="0" xfId="0" applyAlignment="1" applyBorder="1" applyFont="1">
      <alignment horizontal="left" readingOrder="0" shrinkToFit="0" vertical="top" wrapText="1"/>
    </xf>
    <xf borderId="1" fillId="0" fontId="18" numFmtId="0" xfId="0" applyAlignment="1" applyBorder="1" applyFont="1">
      <alignment readingOrder="0" vertical="center"/>
    </xf>
    <xf borderId="1" fillId="0" fontId="4" numFmtId="0" xfId="0" applyAlignment="1" applyBorder="1" applyFont="1">
      <alignment horizontal="left" readingOrder="0" shrinkToFit="0" vertical="center" wrapText="1"/>
    </xf>
    <xf borderId="1" fillId="0" fontId="18" numFmtId="0" xfId="0" applyAlignment="1" applyBorder="1" applyFont="1">
      <alignment vertical="center"/>
    </xf>
    <xf borderId="1" fillId="0" fontId="20" numFmtId="0" xfId="0" applyAlignment="1" applyBorder="1" applyFont="1">
      <alignment horizontal="left" readingOrder="0" shrinkToFit="0" vertical="center" wrapText="1"/>
    </xf>
    <xf borderId="0" fillId="0" fontId="18" numFmtId="0" xfId="0" applyAlignment="1" applyFont="1">
      <alignment vertical="bottom"/>
    </xf>
    <xf borderId="0" fillId="0" fontId="23" numFmtId="0" xfId="0" applyAlignment="1" applyFont="1">
      <alignment shrinkToFit="0" vertical="top" wrapText="1"/>
    </xf>
    <xf borderId="0" fillId="0" fontId="18" numFmtId="0" xfId="0" applyAlignment="1" applyFont="1">
      <alignment vertical="bottom"/>
    </xf>
    <xf borderId="0" fillId="0" fontId="23" numFmtId="0" xfId="0" applyAlignment="1" applyFont="1">
      <alignment shrinkToFit="0" vertical="top" wrapText="1"/>
    </xf>
    <xf borderId="10" fillId="17" fontId="3" numFmtId="0" xfId="0" applyAlignment="1" applyBorder="1" applyFont="1">
      <alignment shrinkToFit="0" wrapText="1"/>
    </xf>
    <xf borderId="11" fillId="0" fontId="17" numFmtId="0" xfId="0" applyBorder="1" applyFont="1"/>
    <xf borderId="12" fillId="0" fontId="17"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23</xdr:row>
      <xdr:rowOff>0</xdr:rowOff>
    </xdr:from>
    <xdr:ext cx="4876800" cy="3857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aaaa.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0.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pageSetUpPr/>
  </sheetPr>
  <sheetViews>
    <sheetView workbookViewId="0"/>
  </sheetViews>
  <sheetFormatPr customHeight="1" defaultColWidth="14.43" defaultRowHeight="15.0"/>
  <cols>
    <col customWidth="1" min="1" max="1" width="3.0"/>
    <col customWidth="1" min="2" max="2" width="90.0"/>
    <col customWidth="1" min="3" max="26" width="8.71"/>
  </cols>
  <sheetData>
    <row r="1" ht="34.5" customHeight="1">
      <c r="B1" s="1" t="s">
        <v>0</v>
      </c>
    </row>
    <row r="2" ht="9.75" customHeight="1"/>
    <row r="3" ht="34.5" customHeight="1">
      <c r="B3" s="1" t="s">
        <v>1</v>
      </c>
    </row>
    <row r="4" ht="45.0" customHeight="1">
      <c r="B4" s="2" t="s">
        <v>2</v>
      </c>
    </row>
    <row r="5" ht="9.75" customHeight="1"/>
    <row r="6" ht="34.5" customHeight="1">
      <c r="B6" s="1" t="s">
        <v>3</v>
      </c>
    </row>
    <row r="7" ht="45.0" customHeight="1">
      <c r="B7" s="3" t="s">
        <v>4</v>
      </c>
    </row>
    <row r="8" ht="27.75" customHeight="1">
      <c r="B8" s="3" t="s">
        <v>5</v>
      </c>
    </row>
    <row r="9" ht="27.75" customHeight="1">
      <c r="B9" s="3" t="s">
        <v>6</v>
      </c>
    </row>
    <row r="10" ht="9.75" customHeight="1"/>
    <row r="11" ht="34.5" customHeight="1">
      <c r="B11" s="1" t="s">
        <v>7</v>
      </c>
    </row>
    <row r="12" ht="45.0" customHeight="1">
      <c r="B12" s="3" t="s">
        <v>8</v>
      </c>
    </row>
    <row r="13" ht="9.75" customHeight="1"/>
    <row r="14" ht="34.5" customHeight="1">
      <c r="B14" s="1" t="s">
        <v>9</v>
      </c>
    </row>
    <row r="15" ht="45.0" customHeight="1">
      <c r="B15" s="3" t="s">
        <v>10</v>
      </c>
    </row>
    <row r="16" ht="9.75" customHeight="1"/>
    <row r="17" ht="34.5" customHeight="1">
      <c r="B17" s="1" t="s">
        <v>11</v>
      </c>
    </row>
    <row r="18" ht="45.0" customHeight="1">
      <c r="B18" s="3" t="s">
        <v>12</v>
      </c>
    </row>
    <row r="19" ht="9.75" customHeight="1"/>
    <row r="20" ht="34.5" customHeight="1">
      <c r="B20" s="1" t="s">
        <v>13</v>
      </c>
    </row>
    <row r="21" ht="27.75" customHeight="1">
      <c r="B21" s="3" t="s">
        <v>14</v>
      </c>
    </row>
    <row r="22" ht="27.75" customHeight="1">
      <c r="B22" s="2" t="s">
        <v>15</v>
      </c>
    </row>
    <row r="23" ht="27.75" customHeight="1">
      <c r="B23" s="2" t="s">
        <v>16</v>
      </c>
    </row>
    <row r="24" ht="45.0" customHeight="1">
      <c r="B24" s="2" t="s">
        <v>17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2.43"/>
    <col customWidth="1" min="2" max="2" width="10.0"/>
    <col customWidth="1" min="3" max="3" width="8.0"/>
    <col customWidth="1" min="4" max="4" width="16.86"/>
    <col customWidth="1" min="5" max="5" width="21.0"/>
    <col customWidth="1" min="6" max="6" width="35.14"/>
    <col customWidth="1" min="7" max="7" width="25.57"/>
    <col customWidth="1" min="8" max="8" width="29.86"/>
    <col customWidth="1" min="9" max="9" width="34.86"/>
    <col customWidth="1" min="10" max="10" width="32.57"/>
    <col customWidth="1" min="11" max="11" width="27.57"/>
    <col customWidth="1" min="12" max="12" width="38.0"/>
    <col customWidth="1" min="13" max="13" width="16.0"/>
    <col customWidth="1" min="14" max="14" width="20.0"/>
    <col customWidth="1" min="15" max="15" width="39.57"/>
    <col customWidth="1" min="16" max="16" width="22.0"/>
    <col customWidth="1" min="17" max="17" width="35.29"/>
    <col customWidth="1" min="18" max="18" width="22.0"/>
    <col customWidth="1" min="19" max="19" width="55.0"/>
    <col customWidth="1" min="20" max="20" width="18.0"/>
    <col customWidth="1" min="21" max="28" width="8.71"/>
  </cols>
  <sheetData>
    <row r="1">
      <c r="A1" s="4"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6" t="s">
        <v>34</v>
      </c>
      <c r="R1" s="5" t="s">
        <v>35</v>
      </c>
      <c r="S1" s="5" t="s">
        <v>36</v>
      </c>
      <c r="T1" s="5" t="s">
        <v>37</v>
      </c>
    </row>
    <row r="2" ht="27.75" customHeight="1">
      <c r="A2" s="7"/>
      <c r="B2" s="8" t="s">
        <v>38</v>
      </c>
      <c r="C2" s="9"/>
      <c r="D2" s="9"/>
      <c r="E2" s="9"/>
      <c r="F2" s="9"/>
      <c r="G2" s="9"/>
      <c r="H2" s="9"/>
      <c r="I2" s="9"/>
      <c r="J2" s="9"/>
      <c r="K2" s="9"/>
      <c r="L2" s="9"/>
      <c r="M2" s="9"/>
      <c r="N2" s="9"/>
      <c r="O2" s="9"/>
      <c r="P2" s="9"/>
      <c r="Q2" s="9"/>
      <c r="R2" s="9"/>
      <c r="S2" s="9"/>
      <c r="T2" s="10"/>
    </row>
    <row r="3">
      <c r="A3" s="11" t="b">
        <v>1</v>
      </c>
      <c r="B3" s="12" t="s">
        <v>39</v>
      </c>
      <c r="C3" s="12" t="s">
        <v>40</v>
      </c>
      <c r="D3" s="12" t="s">
        <v>41</v>
      </c>
      <c r="E3" s="12" t="s">
        <v>42</v>
      </c>
      <c r="F3" s="12" t="s">
        <v>43</v>
      </c>
      <c r="G3" s="13" t="s">
        <v>44</v>
      </c>
      <c r="H3" s="12" t="s">
        <v>45</v>
      </c>
      <c r="I3" s="12" t="s">
        <v>46</v>
      </c>
      <c r="J3" s="13" t="s">
        <v>47</v>
      </c>
      <c r="K3" s="13" t="s">
        <v>48</v>
      </c>
      <c r="L3" s="13" t="s">
        <v>49</v>
      </c>
      <c r="M3" s="12" t="s">
        <v>50</v>
      </c>
      <c r="N3" s="12" t="s">
        <v>51</v>
      </c>
      <c r="O3" s="13" t="s">
        <v>52</v>
      </c>
      <c r="P3" s="12"/>
      <c r="Q3" s="12"/>
      <c r="R3" s="14" t="s">
        <v>53</v>
      </c>
      <c r="S3" s="15" t="s">
        <v>54</v>
      </c>
      <c r="T3" s="12"/>
    </row>
    <row r="4">
      <c r="A4" s="11" t="b">
        <v>1</v>
      </c>
      <c r="B4" s="12" t="s">
        <v>55</v>
      </c>
      <c r="C4" s="12" t="s">
        <v>40</v>
      </c>
      <c r="D4" s="12" t="s">
        <v>41</v>
      </c>
      <c r="E4" s="12" t="s">
        <v>56</v>
      </c>
      <c r="F4" s="13" t="s">
        <v>57</v>
      </c>
      <c r="G4" s="13" t="s">
        <v>58</v>
      </c>
      <c r="H4" s="13" t="s">
        <v>59</v>
      </c>
      <c r="I4" s="13" t="s">
        <v>60</v>
      </c>
      <c r="J4" s="13" t="s">
        <v>61</v>
      </c>
      <c r="K4" s="13" t="s">
        <v>62</v>
      </c>
      <c r="L4" s="12" t="s">
        <v>63</v>
      </c>
      <c r="M4" s="12" t="s">
        <v>50</v>
      </c>
      <c r="N4" s="12" t="s">
        <v>51</v>
      </c>
      <c r="O4" s="13" t="s">
        <v>64</v>
      </c>
      <c r="P4" s="12" t="s">
        <v>65</v>
      </c>
      <c r="Q4" s="12"/>
      <c r="R4" s="14" t="s">
        <v>53</v>
      </c>
      <c r="S4" s="15" t="s">
        <v>66</v>
      </c>
      <c r="T4" s="12"/>
    </row>
    <row r="5">
      <c r="A5" s="11" t="b">
        <v>1</v>
      </c>
      <c r="B5" s="12" t="s">
        <v>67</v>
      </c>
      <c r="C5" s="12" t="s">
        <v>40</v>
      </c>
      <c r="D5" s="12" t="s">
        <v>41</v>
      </c>
      <c r="E5" s="12" t="s">
        <v>68</v>
      </c>
      <c r="F5" s="13" t="s">
        <v>69</v>
      </c>
      <c r="G5" s="12" t="s">
        <v>70</v>
      </c>
      <c r="H5" s="13" t="s">
        <v>71</v>
      </c>
      <c r="I5" s="12" t="s">
        <v>72</v>
      </c>
      <c r="J5" s="13" t="s">
        <v>73</v>
      </c>
      <c r="K5" s="12" t="s">
        <v>74</v>
      </c>
      <c r="L5" s="12" t="s">
        <v>75</v>
      </c>
      <c r="M5" s="12" t="s">
        <v>76</v>
      </c>
      <c r="N5" s="12" t="s">
        <v>51</v>
      </c>
      <c r="O5" s="13" t="s">
        <v>77</v>
      </c>
      <c r="P5" s="12" t="s">
        <v>78</v>
      </c>
      <c r="Q5" s="12"/>
      <c r="R5" s="14" t="s">
        <v>53</v>
      </c>
      <c r="S5" s="15" t="s">
        <v>79</v>
      </c>
      <c r="T5" s="12"/>
    </row>
    <row r="6">
      <c r="A6" s="11" t="b">
        <v>1</v>
      </c>
      <c r="B6" s="12" t="s">
        <v>80</v>
      </c>
      <c r="C6" s="12" t="s">
        <v>40</v>
      </c>
      <c r="D6" s="12" t="s">
        <v>41</v>
      </c>
      <c r="E6" s="12" t="s">
        <v>81</v>
      </c>
      <c r="F6" s="12" t="s">
        <v>82</v>
      </c>
      <c r="G6" s="12" t="s">
        <v>83</v>
      </c>
      <c r="H6" s="13" t="s">
        <v>84</v>
      </c>
      <c r="I6" s="12" t="s">
        <v>85</v>
      </c>
      <c r="J6" s="13" t="s">
        <v>86</v>
      </c>
      <c r="K6" s="13" t="s">
        <v>87</v>
      </c>
      <c r="L6" s="12" t="s">
        <v>88</v>
      </c>
      <c r="M6" s="12" t="s">
        <v>50</v>
      </c>
      <c r="N6" s="12" t="s">
        <v>51</v>
      </c>
      <c r="O6" s="13" t="s">
        <v>89</v>
      </c>
      <c r="P6" s="12" t="s">
        <v>90</v>
      </c>
      <c r="Q6" s="12"/>
      <c r="R6" s="16" t="s">
        <v>91</v>
      </c>
      <c r="S6" s="17" t="s">
        <v>92</v>
      </c>
      <c r="T6" s="12"/>
    </row>
    <row r="7">
      <c r="A7" s="11" t="b">
        <v>1</v>
      </c>
      <c r="B7" s="12" t="s">
        <v>93</v>
      </c>
      <c r="C7" s="12" t="s">
        <v>40</v>
      </c>
      <c r="D7" s="12" t="s">
        <v>41</v>
      </c>
      <c r="E7" s="12" t="s">
        <v>94</v>
      </c>
      <c r="F7" s="13" t="s">
        <v>95</v>
      </c>
      <c r="G7" s="12" t="s">
        <v>96</v>
      </c>
      <c r="H7" s="13" t="s">
        <v>97</v>
      </c>
      <c r="I7" s="12" t="s">
        <v>98</v>
      </c>
      <c r="J7" s="13" t="s">
        <v>99</v>
      </c>
      <c r="K7" s="13" t="s">
        <v>100</v>
      </c>
      <c r="L7" s="12" t="s">
        <v>101</v>
      </c>
      <c r="M7" s="12" t="s">
        <v>50</v>
      </c>
      <c r="N7" s="12" t="s">
        <v>51</v>
      </c>
      <c r="O7" s="13" t="s">
        <v>102</v>
      </c>
      <c r="P7" s="12" t="s">
        <v>103</v>
      </c>
      <c r="Q7" s="12"/>
      <c r="R7" s="14" t="s">
        <v>53</v>
      </c>
      <c r="S7" s="15" t="s">
        <v>104</v>
      </c>
      <c r="T7" s="12"/>
    </row>
    <row r="8">
      <c r="A8" s="11" t="b">
        <v>1</v>
      </c>
      <c r="B8" s="12" t="s">
        <v>105</v>
      </c>
      <c r="C8" s="12" t="s">
        <v>40</v>
      </c>
      <c r="D8" s="12" t="s">
        <v>41</v>
      </c>
      <c r="E8" s="12" t="s">
        <v>106</v>
      </c>
      <c r="F8" s="12" t="s">
        <v>107</v>
      </c>
      <c r="G8" s="12" t="s">
        <v>108</v>
      </c>
      <c r="H8" s="12" t="s">
        <v>109</v>
      </c>
      <c r="I8" s="12" t="s">
        <v>110</v>
      </c>
      <c r="J8" s="13" t="s">
        <v>111</v>
      </c>
      <c r="K8" s="13" t="s">
        <v>112</v>
      </c>
      <c r="L8" s="12" t="s">
        <v>113</v>
      </c>
      <c r="M8" s="12" t="s">
        <v>50</v>
      </c>
      <c r="N8" s="12" t="s">
        <v>51</v>
      </c>
      <c r="O8" s="13" t="s">
        <v>114</v>
      </c>
      <c r="P8" s="12" t="s">
        <v>115</v>
      </c>
      <c r="Q8" s="12"/>
      <c r="R8" s="14" t="s">
        <v>53</v>
      </c>
      <c r="S8" s="15" t="s">
        <v>116</v>
      </c>
      <c r="T8" s="12"/>
    </row>
    <row r="9">
      <c r="A9" s="11" t="b">
        <v>1</v>
      </c>
      <c r="B9" s="12" t="s">
        <v>117</v>
      </c>
      <c r="C9" s="12" t="s">
        <v>40</v>
      </c>
      <c r="D9" s="12" t="s">
        <v>41</v>
      </c>
      <c r="E9" s="12" t="s">
        <v>118</v>
      </c>
      <c r="F9" s="12" t="s">
        <v>119</v>
      </c>
      <c r="G9" s="12" t="s">
        <v>120</v>
      </c>
      <c r="H9" s="12" t="s">
        <v>121</v>
      </c>
      <c r="I9" s="12" t="s">
        <v>122</v>
      </c>
      <c r="J9" s="13" t="s">
        <v>123</v>
      </c>
      <c r="K9" s="13" t="s">
        <v>124</v>
      </c>
      <c r="L9" s="12" t="s">
        <v>125</v>
      </c>
      <c r="M9" s="12" t="s">
        <v>50</v>
      </c>
      <c r="N9" s="12" t="s">
        <v>51</v>
      </c>
      <c r="O9" s="13" t="s">
        <v>126</v>
      </c>
      <c r="P9" s="12" t="s">
        <v>105</v>
      </c>
      <c r="Q9" s="12"/>
      <c r="R9" s="14" t="s">
        <v>53</v>
      </c>
      <c r="S9" s="15" t="s">
        <v>127</v>
      </c>
      <c r="T9" s="12"/>
    </row>
    <row r="10">
      <c r="A10" s="11" t="b">
        <v>1</v>
      </c>
      <c r="B10" s="12" t="s">
        <v>78</v>
      </c>
      <c r="C10" s="12" t="s">
        <v>40</v>
      </c>
      <c r="D10" s="12" t="s">
        <v>41</v>
      </c>
      <c r="E10" s="12" t="s">
        <v>128</v>
      </c>
      <c r="F10" s="12" t="s">
        <v>129</v>
      </c>
      <c r="G10" s="12" t="s">
        <v>130</v>
      </c>
      <c r="H10" s="12" t="s">
        <v>131</v>
      </c>
      <c r="I10" s="12" t="s">
        <v>132</v>
      </c>
      <c r="J10" s="12" t="s">
        <v>133</v>
      </c>
      <c r="K10" s="13" t="s">
        <v>134</v>
      </c>
      <c r="L10" s="12" t="s">
        <v>135</v>
      </c>
      <c r="M10" s="12" t="s">
        <v>76</v>
      </c>
      <c r="N10" s="12" t="s">
        <v>51</v>
      </c>
      <c r="O10" s="13" t="s">
        <v>136</v>
      </c>
      <c r="P10" s="12" t="s">
        <v>137</v>
      </c>
      <c r="Q10" s="12"/>
      <c r="R10" s="14" t="s">
        <v>53</v>
      </c>
      <c r="S10" s="15" t="s">
        <v>138</v>
      </c>
      <c r="T10" s="12"/>
    </row>
    <row r="11">
      <c r="A11" s="11" t="b">
        <v>1</v>
      </c>
      <c r="B11" s="12" t="s">
        <v>139</v>
      </c>
      <c r="C11" s="12" t="s">
        <v>40</v>
      </c>
      <c r="D11" s="12" t="s">
        <v>41</v>
      </c>
      <c r="E11" s="12" t="s">
        <v>140</v>
      </c>
      <c r="F11" s="12" t="s">
        <v>141</v>
      </c>
      <c r="G11" s="13" t="s">
        <v>142</v>
      </c>
      <c r="H11" s="12" t="s">
        <v>143</v>
      </c>
      <c r="I11" s="12" t="s">
        <v>144</v>
      </c>
      <c r="J11" s="13" t="s">
        <v>145</v>
      </c>
      <c r="K11" s="13" t="s">
        <v>146</v>
      </c>
      <c r="L11" s="12" t="s">
        <v>147</v>
      </c>
      <c r="M11" s="12" t="s">
        <v>50</v>
      </c>
      <c r="N11" s="12" t="s">
        <v>51</v>
      </c>
      <c r="O11" s="13" t="s">
        <v>148</v>
      </c>
      <c r="P11" s="12" t="s">
        <v>149</v>
      </c>
      <c r="Q11" s="12"/>
      <c r="R11" s="18" t="s">
        <v>150</v>
      </c>
      <c r="S11" s="19" t="s">
        <v>151</v>
      </c>
      <c r="T11" s="12"/>
    </row>
    <row r="12">
      <c r="A12" s="11" t="b">
        <v>1</v>
      </c>
      <c r="B12" s="12" t="s">
        <v>152</v>
      </c>
      <c r="C12" s="12" t="s">
        <v>40</v>
      </c>
      <c r="D12" s="12" t="s">
        <v>41</v>
      </c>
      <c r="E12" s="12" t="s">
        <v>153</v>
      </c>
      <c r="F12" s="13" t="s">
        <v>154</v>
      </c>
      <c r="G12" s="12" t="s">
        <v>155</v>
      </c>
      <c r="H12" s="12" t="s">
        <v>156</v>
      </c>
      <c r="I12" s="12" t="s">
        <v>157</v>
      </c>
      <c r="J12" s="13" t="s">
        <v>158</v>
      </c>
      <c r="K12" s="13" t="s">
        <v>159</v>
      </c>
      <c r="L12" s="12" t="s">
        <v>160</v>
      </c>
      <c r="M12" s="12" t="s">
        <v>161</v>
      </c>
      <c r="N12" s="12" t="s">
        <v>51</v>
      </c>
      <c r="O12" s="13" t="s">
        <v>162</v>
      </c>
      <c r="P12" s="12" t="s">
        <v>163</v>
      </c>
      <c r="Q12" s="12"/>
      <c r="R12" s="14" t="s">
        <v>53</v>
      </c>
      <c r="S12" s="15" t="s">
        <v>164</v>
      </c>
      <c r="T12" s="12"/>
    </row>
    <row r="13" ht="27.75" customHeight="1">
      <c r="A13" s="20"/>
      <c r="B13" s="21" t="s">
        <v>165</v>
      </c>
      <c r="C13" s="22"/>
      <c r="D13" s="22"/>
      <c r="E13" s="22"/>
      <c r="F13" s="22"/>
      <c r="G13" s="22"/>
      <c r="H13" s="22"/>
      <c r="I13" s="22"/>
      <c r="J13" s="22"/>
      <c r="K13" s="22"/>
      <c r="L13" s="22"/>
      <c r="M13" s="22"/>
      <c r="N13" s="22"/>
      <c r="O13" s="22"/>
      <c r="P13" s="22"/>
      <c r="Q13" s="22"/>
      <c r="R13" s="22"/>
      <c r="S13" s="22"/>
      <c r="T13" s="23"/>
    </row>
    <row r="14">
      <c r="A14" s="24" t="b">
        <v>0</v>
      </c>
      <c r="B14" s="12" t="s">
        <v>166</v>
      </c>
      <c r="C14" s="12" t="s">
        <v>167</v>
      </c>
      <c r="D14" s="12" t="s">
        <v>168</v>
      </c>
      <c r="E14" s="12" t="s">
        <v>169</v>
      </c>
      <c r="F14" s="13" t="s">
        <v>170</v>
      </c>
      <c r="G14" s="13" t="s">
        <v>171</v>
      </c>
      <c r="H14" s="12" t="s">
        <v>172</v>
      </c>
      <c r="I14" s="12" t="s">
        <v>173</v>
      </c>
      <c r="J14" s="12" t="s">
        <v>174</v>
      </c>
      <c r="K14" s="13" t="s">
        <v>175</v>
      </c>
      <c r="L14" s="12" t="s">
        <v>176</v>
      </c>
      <c r="M14" s="12" t="s">
        <v>50</v>
      </c>
      <c r="N14" s="12" t="s">
        <v>51</v>
      </c>
      <c r="O14" s="12"/>
      <c r="P14" s="12" t="s">
        <v>177</v>
      </c>
      <c r="Q14" s="12"/>
      <c r="R14" s="14" t="s">
        <v>53</v>
      </c>
      <c r="S14" s="15" t="s">
        <v>178</v>
      </c>
      <c r="T14" s="12"/>
    </row>
    <row r="15">
      <c r="A15" s="24" t="b">
        <v>0</v>
      </c>
      <c r="B15" s="12" t="s">
        <v>177</v>
      </c>
      <c r="C15" s="12" t="s">
        <v>167</v>
      </c>
      <c r="D15" s="12" t="s">
        <v>168</v>
      </c>
      <c r="E15" s="12" t="s">
        <v>179</v>
      </c>
      <c r="F15" s="12" t="s">
        <v>180</v>
      </c>
      <c r="G15" s="13" t="s">
        <v>181</v>
      </c>
      <c r="H15" s="12" t="s">
        <v>182</v>
      </c>
      <c r="I15" s="12" t="s">
        <v>183</v>
      </c>
      <c r="J15" s="12" t="s">
        <v>184</v>
      </c>
      <c r="K15" s="13" t="s">
        <v>185</v>
      </c>
      <c r="L15" s="13" t="s">
        <v>186</v>
      </c>
      <c r="M15" s="12" t="s">
        <v>50</v>
      </c>
      <c r="N15" s="12" t="s">
        <v>51</v>
      </c>
      <c r="O15" s="12"/>
      <c r="P15" s="12" t="s">
        <v>187</v>
      </c>
      <c r="Q15" s="12"/>
      <c r="R15" s="14" t="s">
        <v>53</v>
      </c>
      <c r="S15" s="15" t="s">
        <v>188</v>
      </c>
      <c r="T15" s="12"/>
    </row>
    <row r="16">
      <c r="A16" s="24" t="b">
        <v>0</v>
      </c>
      <c r="B16" s="12" t="s">
        <v>189</v>
      </c>
      <c r="C16" s="12" t="s">
        <v>167</v>
      </c>
      <c r="D16" s="12" t="s">
        <v>168</v>
      </c>
      <c r="E16" s="12" t="s">
        <v>190</v>
      </c>
      <c r="F16" s="12" t="s">
        <v>191</v>
      </c>
      <c r="G16" s="12" t="s">
        <v>192</v>
      </c>
      <c r="H16" s="12" t="s">
        <v>193</v>
      </c>
      <c r="I16" s="12" t="s">
        <v>194</v>
      </c>
      <c r="J16" s="12" t="s">
        <v>195</v>
      </c>
      <c r="K16" s="13" t="s">
        <v>196</v>
      </c>
      <c r="L16" s="12" t="s">
        <v>197</v>
      </c>
      <c r="M16" s="12" t="s">
        <v>76</v>
      </c>
      <c r="N16" s="12" t="s">
        <v>51</v>
      </c>
      <c r="O16" s="12"/>
      <c r="P16" s="12" t="s">
        <v>198</v>
      </c>
      <c r="Q16" s="12"/>
      <c r="R16" s="14" t="s">
        <v>53</v>
      </c>
      <c r="S16" s="15" t="s">
        <v>199</v>
      </c>
      <c r="T16" s="12"/>
    </row>
    <row r="17">
      <c r="A17" s="24" t="b">
        <v>0</v>
      </c>
      <c r="B17" s="12" t="s">
        <v>200</v>
      </c>
      <c r="C17" s="12" t="s">
        <v>167</v>
      </c>
      <c r="D17" s="12" t="s">
        <v>168</v>
      </c>
      <c r="E17" s="12" t="s">
        <v>201</v>
      </c>
      <c r="F17" s="12" t="s">
        <v>202</v>
      </c>
      <c r="G17" s="12" t="s">
        <v>203</v>
      </c>
      <c r="H17" s="12" t="s">
        <v>204</v>
      </c>
      <c r="I17" s="12" t="s">
        <v>205</v>
      </c>
      <c r="J17" s="12" t="s">
        <v>206</v>
      </c>
      <c r="K17" s="13" t="s">
        <v>207</v>
      </c>
      <c r="L17" s="12" t="s">
        <v>208</v>
      </c>
      <c r="M17" s="12" t="s">
        <v>76</v>
      </c>
      <c r="N17" s="12" t="s">
        <v>51</v>
      </c>
      <c r="O17" s="12"/>
      <c r="P17" s="12" t="s">
        <v>209</v>
      </c>
      <c r="Q17" s="12"/>
      <c r="R17" s="14" t="s">
        <v>53</v>
      </c>
      <c r="S17" s="15" t="s">
        <v>210</v>
      </c>
      <c r="T17" s="12"/>
    </row>
    <row r="18">
      <c r="A18" s="24" t="b">
        <v>0</v>
      </c>
      <c r="B18" s="12" t="s">
        <v>211</v>
      </c>
      <c r="C18" s="12" t="s">
        <v>167</v>
      </c>
      <c r="D18" s="12" t="s">
        <v>168</v>
      </c>
      <c r="E18" s="12" t="s">
        <v>212</v>
      </c>
      <c r="F18" s="12" t="s">
        <v>213</v>
      </c>
      <c r="G18" s="12" t="s">
        <v>214</v>
      </c>
      <c r="H18" s="12" t="s">
        <v>215</v>
      </c>
      <c r="I18" s="12" t="s">
        <v>216</v>
      </c>
      <c r="J18" s="12" t="s">
        <v>217</v>
      </c>
      <c r="K18" s="13" t="s">
        <v>218</v>
      </c>
      <c r="L18" s="12" t="s">
        <v>219</v>
      </c>
      <c r="M18" s="12" t="s">
        <v>161</v>
      </c>
      <c r="N18" s="12" t="s">
        <v>51</v>
      </c>
      <c r="O18" s="12"/>
      <c r="P18" s="12" t="s">
        <v>177</v>
      </c>
      <c r="Q18" s="12"/>
      <c r="R18" s="14" t="s">
        <v>53</v>
      </c>
      <c r="S18" s="15" t="s">
        <v>220</v>
      </c>
      <c r="T18" s="12"/>
    </row>
    <row r="19" ht="27.75" customHeight="1">
      <c r="A19" s="25"/>
      <c r="B19" s="26" t="s">
        <v>221</v>
      </c>
      <c r="C19" s="27"/>
      <c r="D19" s="27"/>
      <c r="E19" s="27"/>
      <c r="F19" s="27"/>
      <c r="G19" s="27"/>
      <c r="H19" s="27"/>
      <c r="I19" s="27"/>
      <c r="J19" s="27"/>
      <c r="K19" s="27"/>
      <c r="L19" s="27"/>
      <c r="M19" s="27"/>
      <c r="N19" s="27"/>
      <c r="O19" s="27"/>
      <c r="P19" s="27"/>
      <c r="Q19" s="27"/>
      <c r="R19" s="27"/>
      <c r="S19" s="27"/>
      <c r="T19" s="28"/>
    </row>
    <row r="20">
      <c r="A20" s="11" t="b">
        <v>1</v>
      </c>
      <c r="B20" s="12" t="s">
        <v>222</v>
      </c>
      <c r="C20" s="12" t="s">
        <v>223</v>
      </c>
      <c r="D20" s="12" t="s">
        <v>224</v>
      </c>
      <c r="E20" s="12" t="s">
        <v>225</v>
      </c>
      <c r="F20" s="13" t="s">
        <v>226</v>
      </c>
      <c r="G20" s="12" t="s">
        <v>227</v>
      </c>
      <c r="H20" s="12" t="s">
        <v>228</v>
      </c>
      <c r="I20" s="12" t="s">
        <v>229</v>
      </c>
      <c r="J20" s="12" t="s">
        <v>230</v>
      </c>
      <c r="K20" s="13" t="s">
        <v>231</v>
      </c>
      <c r="L20" s="12" t="s">
        <v>232</v>
      </c>
      <c r="M20" s="12" t="s">
        <v>161</v>
      </c>
      <c r="N20" s="12" t="s">
        <v>51</v>
      </c>
      <c r="O20" s="12"/>
      <c r="P20" s="12" t="s">
        <v>105</v>
      </c>
      <c r="Q20" s="12"/>
      <c r="R20" s="14" t="s">
        <v>53</v>
      </c>
      <c r="S20" s="15" t="s">
        <v>233</v>
      </c>
      <c r="T20" s="12"/>
    </row>
    <row r="21">
      <c r="A21" s="11" t="b">
        <v>1</v>
      </c>
      <c r="B21" s="12" t="s">
        <v>234</v>
      </c>
      <c r="C21" s="12" t="s">
        <v>223</v>
      </c>
      <c r="D21" s="12" t="s">
        <v>224</v>
      </c>
      <c r="E21" s="12" t="s">
        <v>235</v>
      </c>
      <c r="F21" s="13" t="s">
        <v>236</v>
      </c>
      <c r="G21" s="12" t="s">
        <v>237</v>
      </c>
      <c r="H21" s="12" t="s">
        <v>238</v>
      </c>
      <c r="I21" s="12" t="s">
        <v>239</v>
      </c>
      <c r="J21" s="12" t="s">
        <v>240</v>
      </c>
      <c r="K21" s="13" t="s">
        <v>241</v>
      </c>
      <c r="L21" s="12" t="s">
        <v>242</v>
      </c>
      <c r="M21" s="12" t="s">
        <v>161</v>
      </c>
      <c r="N21" s="12" t="s">
        <v>51</v>
      </c>
      <c r="O21" s="12"/>
      <c r="P21" s="12" t="s">
        <v>243</v>
      </c>
      <c r="Q21" s="12"/>
      <c r="R21" s="14" t="s">
        <v>53</v>
      </c>
      <c r="S21" s="15" t="s">
        <v>244</v>
      </c>
      <c r="T21" s="12"/>
    </row>
    <row r="22">
      <c r="A22" s="24" t="b">
        <v>0</v>
      </c>
      <c r="B22" s="12" t="s">
        <v>245</v>
      </c>
      <c r="C22" s="12" t="s">
        <v>223</v>
      </c>
      <c r="D22" s="12" t="s">
        <v>224</v>
      </c>
      <c r="E22" s="12" t="s">
        <v>246</v>
      </c>
      <c r="F22" s="13" t="s">
        <v>247</v>
      </c>
      <c r="G22" s="12" t="s">
        <v>248</v>
      </c>
      <c r="H22" s="12" t="s">
        <v>249</v>
      </c>
      <c r="I22" s="12" t="s">
        <v>250</v>
      </c>
      <c r="J22" s="12" t="s">
        <v>251</v>
      </c>
      <c r="K22" s="13" t="s">
        <v>252</v>
      </c>
      <c r="L22" s="12" t="s">
        <v>253</v>
      </c>
      <c r="M22" s="12" t="s">
        <v>76</v>
      </c>
      <c r="N22" s="12" t="s">
        <v>51</v>
      </c>
      <c r="O22" s="12"/>
      <c r="P22" s="12" t="s">
        <v>254</v>
      </c>
      <c r="Q22" s="12"/>
      <c r="R22" s="14" t="s">
        <v>53</v>
      </c>
      <c r="S22" s="15" t="s">
        <v>255</v>
      </c>
      <c r="T22" s="12"/>
    </row>
    <row r="23">
      <c r="A23" s="24" t="b">
        <v>0</v>
      </c>
      <c r="B23" s="12" t="s">
        <v>256</v>
      </c>
      <c r="C23" s="12" t="s">
        <v>223</v>
      </c>
      <c r="D23" s="12" t="s">
        <v>224</v>
      </c>
      <c r="E23" s="12" t="s">
        <v>257</v>
      </c>
      <c r="F23" s="12" t="s">
        <v>258</v>
      </c>
      <c r="G23" s="12" t="s">
        <v>259</v>
      </c>
      <c r="H23" s="12" t="s">
        <v>260</v>
      </c>
      <c r="I23" s="12" t="s">
        <v>261</v>
      </c>
      <c r="J23" s="12" t="s">
        <v>262</v>
      </c>
      <c r="K23" s="13" t="s">
        <v>263</v>
      </c>
      <c r="L23" s="12" t="s">
        <v>264</v>
      </c>
      <c r="M23" s="12" t="s">
        <v>76</v>
      </c>
      <c r="N23" s="12" t="s">
        <v>51</v>
      </c>
      <c r="O23" s="12"/>
      <c r="P23" s="12" t="s">
        <v>265</v>
      </c>
      <c r="Q23" s="12"/>
      <c r="R23" s="14" t="s">
        <v>53</v>
      </c>
      <c r="S23" s="15" t="s">
        <v>266</v>
      </c>
      <c r="T23" s="12"/>
    </row>
    <row r="24" ht="27.75" customHeight="1">
      <c r="A24" s="29"/>
      <c r="B24" s="30" t="s">
        <v>267</v>
      </c>
      <c r="C24" s="31"/>
      <c r="D24" s="31"/>
      <c r="E24" s="31"/>
      <c r="F24" s="31"/>
      <c r="G24" s="31"/>
      <c r="H24" s="31"/>
      <c r="I24" s="31"/>
      <c r="J24" s="31"/>
      <c r="K24" s="31"/>
      <c r="L24" s="31"/>
      <c r="M24" s="31"/>
      <c r="N24" s="31"/>
      <c r="O24" s="31"/>
      <c r="P24" s="31"/>
      <c r="Q24" s="31"/>
      <c r="R24" s="31"/>
      <c r="S24" s="31"/>
      <c r="T24" s="32"/>
    </row>
    <row r="25">
      <c r="A25" s="24" t="b">
        <v>0</v>
      </c>
      <c r="B25" s="12" t="s">
        <v>268</v>
      </c>
      <c r="C25" s="12" t="s">
        <v>269</v>
      </c>
      <c r="D25" s="12" t="s">
        <v>270</v>
      </c>
      <c r="E25" s="12" t="s">
        <v>271</v>
      </c>
      <c r="F25" s="12" t="s">
        <v>272</v>
      </c>
      <c r="G25" s="12" t="s">
        <v>273</v>
      </c>
      <c r="H25" s="12" t="s">
        <v>274</v>
      </c>
      <c r="I25" s="12" t="s">
        <v>275</v>
      </c>
      <c r="J25" s="12" t="s">
        <v>276</v>
      </c>
      <c r="K25" s="13" t="s">
        <v>277</v>
      </c>
      <c r="L25" s="12" t="s">
        <v>278</v>
      </c>
      <c r="M25" s="12" t="s">
        <v>161</v>
      </c>
      <c r="N25" s="12" t="s">
        <v>51</v>
      </c>
      <c r="O25" s="12"/>
      <c r="P25" s="12" t="s">
        <v>279</v>
      </c>
      <c r="Q25" s="12"/>
      <c r="R25" s="18" t="s">
        <v>150</v>
      </c>
      <c r="S25" s="19" t="s">
        <v>280</v>
      </c>
      <c r="T25" s="12"/>
    </row>
    <row r="26">
      <c r="A26" s="24" t="b">
        <v>0</v>
      </c>
      <c r="B26" s="12" t="s">
        <v>281</v>
      </c>
      <c r="C26" s="12" t="s">
        <v>269</v>
      </c>
      <c r="D26" s="12" t="s">
        <v>270</v>
      </c>
      <c r="E26" s="12" t="s">
        <v>282</v>
      </c>
      <c r="F26" s="13" t="s">
        <v>283</v>
      </c>
      <c r="G26" s="12" t="s">
        <v>284</v>
      </c>
      <c r="H26" s="12" t="s">
        <v>285</v>
      </c>
      <c r="I26" s="12" t="s">
        <v>286</v>
      </c>
      <c r="J26" s="12" t="s">
        <v>287</v>
      </c>
      <c r="K26" s="13" t="s">
        <v>288</v>
      </c>
      <c r="L26" s="13" t="s">
        <v>289</v>
      </c>
      <c r="M26" s="12" t="s">
        <v>50</v>
      </c>
      <c r="N26" s="12" t="s">
        <v>51</v>
      </c>
      <c r="O26" s="12"/>
      <c r="P26" s="12" t="s">
        <v>290</v>
      </c>
      <c r="Q26" s="12"/>
      <c r="R26" s="16" t="s">
        <v>91</v>
      </c>
      <c r="S26" s="17" t="s">
        <v>291</v>
      </c>
      <c r="T26" s="12"/>
    </row>
    <row r="27">
      <c r="A27" s="11" t="b">
        <v>1</v>
      </c>
      <c r="B27" s="12" t="s">
        <v>292</v>
      </c>
      <c r="C27" s="12" t="s">
        <v>269</v>
      </c>
      <c r="D27" s="12" t="s">
        <v>270</v>
      </c>
      <c r="E27" s="12" t="s">
        <v>293</v>
      </c>
      <c r="F27" s="13" t="s">
        <v>294</v>
      </c>
      <c r="G27" s="12" t="s">
        <v>295</v>
      </c>
      <c r="H27" s="12" t="s">
        <v>296</v>
      </c>
      <c r="I27" s="12" t="s">
        <v>297</v>
      </c>
      <c r="J27" s="12" t="s">
        <v>298</v>
      </c>
      <c r="K27" s="13" t="s">
        <v>299</v>
      </c>
      <c r="L27" s="12" t="s">
        <v>300</v>
      </c>
      <c r="M27" s="12" t="s">
        <v>76</v>
      </c>
      <c r="N27" s="12" t="s">
        <v>51</v>
      </c>
      <c r="O27" s="12"/>
      <c r="P27" s="12" t="s">
        <v>301</v>
      </c>
      <c r="Q27" s="12"/>
      <c r="R27" s="14" t="s">
        <v>53</v>
      </c>
      <c r="S27" s="15" t="s">
        <v>302</v>
      </c>
      <c r="T27" s="12"/>
    </row>
    <row r="28">
      <c r="A28" s="24" t="b">
        <v>0</v>
      </c>
      <c r="B28" s="12" t="s">
        <v>303</v>
      </c>
      <c r="C28" s="12" t="s">
        <v>269</v>
      </c>
      <c r="D28" s="12" t="s">
        <v>270</v>
      </c>
      <c r="E28" s="12" t="s">
        <v>304</v>
      </c>
      <c r="F28" s="12" t="s">
        <v>305</v>
      </c>
      <c r="G28" s="13" t="s">
        <v>306</v>
      </c>
      <c r="H28" s="12" t="s">
        <v>307</v>
      </c>
      <c r="I28" s="12" t="s">
        <v>308</v>
      </c>
      <c r="J28" s="12" t="s">
        <v>309</v>
      </c>
      <c r="K28" s="13" t="s">
        <v>310</v>
      </c>
      <c r="L28" s="12" t="s">
        <v>311</v>
      </c>
      <c r="M28" s="12" t="s">
        <v>50</v>
      </c>
      <c r="N28" s="12" t="s">
        <v>51</v>
      </c>
      <c r="O28" s="12"/>
      <c r="P28" s="12" t="s">
        <v>312</v>
      </c>
      <c r="Q28" s="12"/>
      <c r="R28" s="18" t="s">
        <v>150</v>
      </c>
      <c r="S28" s="19" t="s">
        <v>313</v>
      </c>
      <c r="T28" s="12"/>
    </row>
    <row r="29" ht="27.75" customHeight="1">
      <c r="A29" s="33"/>
      <c r="B29" s="34" t="s">
        <v>314</v>
      </c>
      <c r="C29" s="35"/>
      <c r="D29" s="35"/>
      <c r="E29" s="35"/>
      <c r="F29" s="35"/>
      <c r="G29" s="35"/>
      <c r="H29" s="35"/>
      <c r="I29" s="35"/>
      <c r="J29" s="35"/>
      <c r="K29" s="35"/>
      <c r="L29" s="35"/>
      <c r="M29" s="35"/>
      <c r="N29" s="35"/>
      <c r="O29" s="35"/>
      <c r="P29" s="35"/>
      <c r="Q29" s="35"/>
      <c r="R29" s="35"/>
      <c r="S29" s="35"/>
      <c r="T29" s="36"/>
    </row>
    <row r="30">
      <c r="A30" s="24" t="b">
        <v>0</v>
      </c>
      <c r="B30" s="12" t="s">
        <v>315</v>
      </c>
      <c r="C30" s="12" t="s">
        <v>316</v>
      </c>
      <c r="D30" s="12" t="s">
        <v>317</v>
      </c>
      <c r="E30" s="12" t="s">
        <v>318</v>
      </c>
      <c r="F30" s="12" t="s">
        <v>319</v>
      </c>
      <c r="G30" s="12" t="s">
        <v>320</v>
      </c>
      <c r="H30" s="12" t="s">
        <v>321</v>
      </c>
      <c r="I30" s="12" t="s">
        <v>322</v>
      </c>
      <c r="J30" s="12" t="s">
        <v>323</v>
      </c>
      <c r="K30" s="13" t="s">
        <v>324</v>
      </c>
      <c r="L30" s="12" t="s">
        <v>325</v>
      </c>
      <c r="M30" s="12" t="s">
        <v>76</v>
      </c>
      <c r="N30" s="12" t="s">
        <v>51</v>
      </c>
      <c r="O30" s="12"/>
      <c r="P30" s="12" t="s">
        <v>326</v>
      </c>
      <c r="Q30" s="12"/>
      <c r="R30" s="14" t="s">
        <v>53</v>
      </c>
      <c r="S30" s="15" t="s">
        <v>327</v>
      </c>
      <c r="T30" s="12"/>
    </row>
    <row r="31">
      <c r="A31" s="24" t="b">
        <v>0</v>
      </c>
      <c r="B31" s="12" t="s">
        <v>328</v>
      </c>
      <c r="C31" s="12" t="s">
        <v>316</v>
      </c>
      <c r="D31" s="12" t="s">
        <v>317</v>
      </c>
      <c r="E31" s="12" t="s">
        <v>329</v>
      </c>
      <c r="F31" s="12" t="s">
        <v>330</v>
      </c>
      <c r="G31" s="12" t="s">
        <v>331</v>
      </c>
      <c r="H31" s="12" t="s">
        <v>332</v>
      </c>
      <c r="I31" s="12" t="s">
        <v>333</v>
      </c>
      <c r="J31" s="12" t="s">
        <v>334</v>
      </c>
      <c r="K31" s="13" t="s">
        <v>335</v>
      </c>
      <c r="L31" s="12" t="s">
        <v>336</v>
      </c>
      <c r="M31" s="12" t="s">
        <v>76</v>
      </c>
      <c r="N31" s="12" t="s">
        <v>51</v>
      </c>
      <c r="O31" s="12"/>
      <c r="P31" s="12" t="s">
        <v>337</v>
      </c>
      <c r="Q31" s="12"/>
      <c r="R31" s="14" t="s">
        <v>53</v>
      </c>
      <c r="S31" s="15" t="s">
        <v>338</v>
      </c>
      <c r="T31" s="12"/>
    </row>
    <row r="32">
      <c r="A32" s="24" t="b">
        <v>0</v>
      </c>
      <c r="B32" s="12" t="s">
        <v>339</v>
      </c>
      <c r="C32" s="12" t="s">
        <v>316</v>
      </c>
      <c r="D32" s="12" t="s">
        <v>317</v>
      </c>
      <c r="E32" s="12" t="s">
        <v>340</v>
      </c>
      <c r="F32" s="13" t="s">
        <v>341</v>
      </c>
      <c r="G32" s="12" t="s">
        <v>342</v>
      </c>
      <c r="H32" s="12" t="s">
        <v>343</v>
      </c>
      <c r="I32" s="12" t="s">
        <v>344</v>
      </c>
      <c r="J32" s="12" t="s">
        <v>345</v>
      </c>
      <c r="K32" s="13" t="s">
        <v>346</v>
      </c>
      <c r="L32" s="12" t="s">
        <v>347</v>
      </c>
      <c r="M32" s="12" t="s">
        <v>161</v>
      </c>
      <c r="N32" s="12" t="s">
        <v>51</v>
      </c>
      <c r="O32" s="12"/>
      <c r="P32" s="12" t="s">
        <v>348</v>
      </c>
      <c r="Q32" s="12"/>
      <c r="R32" s="14" t="s">
        <v>53</v>
      </c>
      <c r="S32" s="15" t="s">
        <v>349</v>
      </c>
      <c r="T32" s="12"/>
    </row>
    <row r="33">
      <c r="A33" s="24" t="b">
        <v>0</v>
      </c>
      <c r="B33" s="12" t="s">
        <v>350</v>
      </c>
      <c r="C33" s="12" t="s">
        <v>316</v>
      </c>
      <c r="D33" s="12" t="s">
        <v>317</v>
      </c>
      <c r="E33" s="12" t="s">
        <v>351</v>
      </c>
      <c r="F33" s="13" t="s">
        <v>352</v>
      </c>
      <c r="G33" s="13" t="s">
        <v>353</v>
      </c>
      <c r="H33" s="12" t="s">
        <v>354</v>
      </c>
      <c r="I33" s="12" t="s">
        <v>355</v>
      </c>
      <c r="J33" s="12" t="s">
        <v>356</v>
      </c>
      <c r="K33" s="13" t="s">
        <v>357</v>
      </c>
      <c r="L33" s="13" t="s">
        <v>358</v>
      </c>
      <c r="M33" s="12" t="s">
        <v>161</v>
      </c>
      <c r="N33" s="12" t="s">
        <v>51</v>
      </c>
      <c r="O33" s="12"/>
      <c r="P33" s="12" t="s">
        <v>315</v>
      </c>
      <c r="Q33" s="12"/>
      <c r="R33" s="14" t="s">
        <v>53</v>
      </c>
      <c r="S33" s="15" t="s">
        <v>359</v>
      </c>
      <c r="T33" s="12"/>
    </row>
    <row r="34" ht="27.75" customHeight="1">
      <c r="A34" s="37"/>
      <c r="B34" s="38" t="s">
        <v>360</v>
      </c>
      <c r="C34" s="39"/>
      <c r="D34" s="39"/>
      <c r="E34" s="39"/>
      <c r="F34" s="39"/>
      <c r="G34" s="39"/>
      <c r="H34" s="39"/>
      <c r="I34" s="39"/>
      <c r="J34" s="39"/>
      <c r="K34" s="39"/>
      <c r="L34" s="39"/>
      <c r="M34" s="39"/>
      <c r="N34" s="39"/>
      <c r="O34" s="39"/>
      <c r="P34" s="39"/>
      <c r="Q34" s="39"/>
      <c r="R34" s="39"/>
      <c r="S34" s="39"/>
      <c r="T34" s="40"/>
    </row>
    <row r="35">
      <c r="A35" s="11" t="b">
        <v>1</v>
      </c>
      <c r="B35" s="12" t="s">
        <v>361</v>
      </c>
      <c r="C35" s="12" t="s">
        <v>362</v>
      </c>
      <c r="D35" s="12" t="s">
        <v>363</v>
      </c>
      <c r="E35" s="12" t="s">
        <v>364</v>
      </c>
      <c r="F35" s="13" t="s">
        <v>365</v>
      </c>
      <c r="G35" s="12" t="s">
        <v>366</v>
      </c>
      <c r="H35" s="12" t="s">
        <v>367</v>
      </c>
      <c r="I35" s="12" t="s">
        <v>368</v>
      </c>
      <c r="J35" s="12" t="s">
        <v>369</v>
      </c>
      <c r="K35" s="13" t="s">
        <v>370</v>
      </c>
      <c r="L35" s="12" t="s">
        <v>371</v>
      </c>
      <c r="M35" s="12" t="s">
        <v>76</v>
      </c>
      <c r="N35" s="12" t="s">
        <v>51</v>
      </c>
      <c r="O35" s="12"/>
      <c r="P35" s="12" t="s">
        <v>105</v>
      </c>
      <c r="Q35" s="12"/>
      <c r="R35" s="14" t="s">
        <v>53</v>
      </c>
      <c r="S35" s="15" t="s">
        <v>372</v>
      </c>
      <c r="T35" s="12"/>
    </row>
    <row r="36">
      <c r="A36" s="11" t="b">
        <v>1</v>
      </c>
      <c r="B36" s="12" t="s">
        <v>373</v>
      </c>
      <c r="C36" s="12" t="s">
        <v>362</v>
      </c>
      <c r="D36" s="12" t="s">
        <v>363</v>
      </c>
      <c r="E36" s="12" t="s">
        <v>374</v>
      </c>
      <c r="F36" s="12" t="s">
        <v>375</v>
      </c>
      <c r="G36" s="13" t="s">
        <v>376</v>
      </c>
      <c r="H36" s="12" t="s">
        <v>377</v>
      </c>
      <c r="I36" s="12" t="s">
        <v>378</v>
      </c>
      <c r="J36" s="12" t="s">
        <v>379</v>
      </c>
      <c r="K36" s="13" t="s">
        <v>380</v>
      </c>
      <c r="L36" s="12" t="s">
        <v>381</v>
      </c>
      <c r="M36" s="12" t="s">
        <v>161</v>
      </c>
      <c r="N36" s="12" t="s">
        <v>51</v>
      </c>
      <c r="O36" s="12"/>
      <c r="P36" s="12" t="s">
        <v>382</v>
      </c>
      <c r="Q36" s="12"/>
      <c r="R36" s="14" t="s">
        <v>53</v>
      </c>
      <c r="S36" s="15" t="s">
        <v>383</v>
      </c>
      <c r="T36" s="12"/>
    </row>
    <row r="37">
      <c r="A37" s="24" t="b">
        <v>0</v>
      </c>
      <c r="B37" s="12" t="s">
        <v>384</v>
      </c>
      <c r="C37" s="12" t="s">
        <v>362</v>
      </c>
      <c r="D37" s="12" t="s">
        <v>363</v>
      </c>
      <c r="E37" s="12" t="s">
        <v>385</v>
      </c>
      <c r="F37" s="12" t="s">
        <v>386</v>
      </c>
      <c r="G37" s="12" t="s">
        <v>387</v>
      </c>
      <c r="H37" s="12" t="s">
        <v>388</v>
      </c>
      <c r="I37" s="12" t="s">
        <v>389</v>
      </c>
      <c r="J37" s="12" t="s">
        <v>390</v>
      </c>
      <c r="K37" s="13" t="s">
        <v>391</v>
      </c>
      <c r="L37" s="12" t="s">
        <v>392</v>
      </c>
      <c r="M37" s="12" t="s">
        <v>161</v>
      </c>
      <c r="N37" s="12" t="s">
        <v>51</v>
      </c>
      <c r="O37" s="12"/>
      <c r="P37" s="12" t="s">
        <v>393</v>
      </c>
      <c r="Q37" s="12"/>
      <c r="R37" s="14" t="s">
        <v>53</v>
      </c>
      <c r="S37" s="15" t="s">
        <v>394</v>
      </c>
      <c r="T37" s="12"/>
    </row>
    <row r="38">
      <c r="A38" s="24" t="b">
        <v>0</v>
      </c>
      <c r="B38" s="12" t="s">
        <v>395</v>
      </c>
      <c r="C38" s="12" t="s">
        <v>362</v>
      </c>
      <c r="D38" s="12" t="s">
        <v>363</v>
      </c>
      <c r="E38" s="12" t="s">
        <v>396</v>
      </c>
      <c r="F38" s="12" t="s">
        <v>397</v>
      </c>
      <c r="G38" s="12" t="s">
        <v>398</v>
      </c>
      <c r="H38" s="12" t="s">
        <v>399</v>
      </c>
      <c r="I38" s="12" t="s">
        <v>400</v>
      </c>
      <c r="J38" s="12" t="s">
        <v>401</v>
      </c>
      <c r="K38" s="13" t="s">
        <v>402</v>
      </c>
      <c r="L38" s="12" t="s">
        <v>403</v>
      </c>
      <c r="M38" s="12" t="s">
        <v>161</v>
      </c>
      <c r="N38" s="12" t="s">
        <v>51</v>
      </c>
      <c r="O38" s="12"/>
      <c r="P38" s="12" t="s">
        <v>382</v>
      </c>
      <c r="Q38" s="12"/>
      <c r="R38" s="14" t="s">
        <v>53</v>
      </c>
      <c r="S38" s="15" t="s">
        <v>404</v>
      </c>
      <c r="T38" s="12"/>
    </row>
    <row r="39">
      <c r="A39" s="11" t="b">
        <v>1</v>
      </c>
      <c r="B39" s="12" t="s">
        <v>405</v>
      </c>
      <c r="C39" s="12" t="s">
        <v>362</v>
      </c>
      <c r="D39" s="12" t="s">
        <v>363</v>
      </c>
      <c r="E39" s="12" t="s">
        <v>406</v>
      </c>
      <c r="F39" s="12" t="s">
        <v>407</v>
      </c>
      <c r="G39" s="12" t="s">
        <v>408</v>
      </c>
      <c r="H39" s="12" t="s">
        <v>409</v>
      </c>
      <c r="I39" s="12" t="s">
        <v>410</v>
      </c>
      <c r="J39" s="12" t="s">
        <v>411</v>
      </c>
      <c r="K39" s="13" t="s">
        <v>412</v>
      </c>
      <c r="L39" s="12" t="s">
        <v>413</v>
      </c>
      <c r="M39" s="12" t="s">
        <v>76</v>
      </c>
      <c r="N39" s="12" t="s">
        <v>51</v>
      </c>
      <c r="O39" s="12"/>
      <c r="P39" s="12" t="s">
        <v>414</v>
      </c>
      <c r="Q39" s="12"/>
      <c r="R39" s="14" t="s">
        <v>53</v>
      </c>
      <c r="S39" s="15" t="s">
        <v>415</v>
      </c>
      <c r="T39" s="12"/>
    </row>
    <row r="40" ht="27.75" customHeight="1">
      <c r="A40" s="41"/>
      <c r="B40" s="42" t="s">
        <v>416</v>
      </c>
      <c r="C40" s="43"/>
      <c r="D40" s="43"/>
      <c r="E40" s="43"/>
      <c r="F40" s="43"/>
      <c r="G40" s="43"/>
      <c r="H40" s="43"/>
      <c r="I40" s="43"/>
      <c r="J40" s="43"/>
      <c r="K40" s="43"/>
      <c r="L40" s="43"/>
      <c r="M40" s="43"/>
      <c r="N40" s="43"/>
      <c r="O40" s="43"/>
      <c r="P40" s="43"/>
      <c r="Q40" s="43"/>
      <c r="R40" s="43"/>
      <c r="S40" s="43"/>
      <c r="T40" s="44"/>
    </row>
    <row r="41">
      <c r="A41" s="11" t="b">
        <v>1</v>
      </c>
      <c r="B41" s="12" t="s">
        <v>417</v>
      </c>
      <c r="C41" s="12" t="s">
        <v>418</v>
      </c>
      <c r="D41" s="12" t="s">
        <v>419</v>
      </c>
      <c r="E41" s="12" t="s">
        <v>420</v>
      </c>
      <c r="F41" s="12" t="s">
        <v>421</v>
      </c>
      <c r="G41" s="12" t="s">
        <v>422</v>
      </c>
      <c r="H41" s="12" t="s">
        <v>423</v>
      </c>
      <c r="I41" s="12" t="s">
        <v>424</v>
      </c>
      <c r="J41" s="12" t="s">
        <v>425</v>
      </c>
      <c r="K41" s="13" t="s">
        <v>426</v>
      </c>
      <c r="L41" s="12" t="s">
        <v>427</v>
      </c>
      <c r="M41" s="12" t="s">
        <v>76</v>
      </c>
      <c r="N41" s="12" t="s">
        <v>51</v>
      </c>
      <c r="O41" s="12"/>
      <c r="P41" s="12" t="s">
        <v>428</v>
      </c>
      <c r="Q41" s="12"/>
      <c r="R41" s="14" t="s">
        <v>53</v>
      </c>
      <c r="S41" s="15" t="s">
        <v>429</v>
      </c>
      <c r="T41" s="12"/>
    </row>
    <row r="42">
      <c r="A42" s="11" t="b">
        <v>1</v>
      </c>
      <c r="B42" s="12" t="s">
        <v>430</v>
      </c>
      <c r="C42" s="12" t="s">
        <v>418</v>
      </c>
      <c r="D42" s="12" t="s">
        <v>419</v>
      </c>
      <c r="E42" s="12" t="s">
        <v>431</v>
      </c>
      <c r="F42" s="12" t="s">
        <v>432</v>
      </c>
      <c r="G42" s="12" t="s">
        <v>433</v>
      </c>
      <c r="H42" s="12" t="s">
        <v>434</v>
      </c>
      <c r="I42" s="12" t="s">
        <v>435</v>
      </c>
      <c r="J42" s="12" t="s">
        <v>436</v>
      </c>
      <c r="K42" s="13" t="s">
        <v>437</v>
      </c>
      <c r="L42" s="12" t="s">
        <v>438</v>
      </c>
      <c r="M42" s="12" t="s">
        <v>76</v>
      </c>
      <c r="N42" s="12" t="s">
        <v>51</v>
      </c>
      <c r="O42" s="12"/>
      <c r="P42" s="12" t="s">
        <v>439</v>
      </c>
      <c r="Q42" s="12"/>
      <c r="R42" s="16" t="s">
        <v>91</v>
      </c>
      <c r="S42" s="45" t="s">
        <v>440</v>
      </c>
      <c r="T42" s="12"/>
    </row>
    <row r="43">
      <c r="A43" s="24" t="b">
        <v>0</v>
      </c>
      <c r="B43" s="12" t="s">
        <v>441</v>
      </c>
      <c r="C43" s="12" t="s">
        <v>418</v>
      </c>
      <c r="D43" s="12" t="s">
        <v>419</v>
      </c>
      <c r="E43" s="12" t="s">
        <v>442</v>
      </c>
      <c r="F43" s="12" t="s">
        <v>443</v>
      </c>
      <c r="G43" s="12" t="s">
        <v>444</v>
      </c>
      <c r="H43" s="12" t="s">
        <v>445</v>
      </c>
      <c r="I43" s="12" t="s">
        <v>446</v>
      </c>
      <c r="J43" s="12" t="s">
        <v>447</v>
      </c>
      <c r="K43" s="13" t="s">
        <v>448</v>
      </c>
      <c r="L43" s="12" t="s">
        <v>449</v>
      </c>
      <c r="M43" s="12" t="s">
        <v>450</v>
      </c>
      <c r="N43" s="12" t="s">
        <v>51</v>
      </c>
      <c r="O43" s="12"/>
      <c r="P43" s="12"/>
      <c r="Q43" s="12"/>
      <c r="R43" s="14" t="s">
        <v>53</v>
      </c>
      <c r="S43" s="15" t="s">
        <v>451</v>
      </c>
      <c r="T43" s="12"/>
    </row>
    <row r="44">
      <c r="A44" s="24" t="b">
        <v>0</v>
      </c>
      <c r="B44" s="12" t="s">
        <v>452</v>
      </c>
      <c r="C44" s="12" t="s">
        <v>418</v>
      </c>
      <c r="D44" s="12" t="s">
        <v>419</v>
      </c>
      <c r="E44" s="12" t="s">
        <v>453</v>
      </c>
      <c r="F44" s="12" t="s">
        <v>454</v>
      </c>
      <c r="G44" s="12" t="s">
        <v>455</v>
      </c>
      <c r="H44" s="12" t="s">
        <v>456</v>
      </c>
      <c r="I44" s="12" t="s">
        <v>457</v>
      </c>
      <c r="J44" s="12" t="s">
        <v>458</v>
      </c>
      <c r="K44" s="13" t="s">
        <v>459</v>
      </c>
      <c r="L44" s="12" t="s">
        <v>460</v>
      </c>
      <c r="M44" s="12" t="s">
        <v>76</v>
      </c>
      <c r="N44" s="12" t="s">
        <v>51</v>
      </c>
      <c r="O44" s="12"/>
      <c r="P44" s="12" t="s">
        <v>461</v>
      </c>
      <c r="Q44" s="12"/>
      <c r="R44" s="14" t="s">
        <v>53</v>
      </c>
      <c r="S44" s="15" t="s">
        <v>462</v>
      </c>
      <c r="T44" s="12"/>
    </row>
    <row r="45">
      <c r="A45" s="24" t="b">
        <v>0</v>
      </c>
      <c r="B45" s="12" t="s">
        <v>463</v>
      </c>
      <c r="C45" s="12" t="s">
        <v>418</v>
      </c>
      <c r="D45" s="12" t="s">
        <v>419</v>
      </c>
      <c r="E45" s="12" t="s">
        <v>464</v>
      </c>
      <c r="F45" s="12" t="s">
        <v>465</v>
      </c>
      <c r="G45" s="12" t="s">
        <v>466</v>
      </c>
      <c r="H45" s="12" t="s">
        <v>467</v>
      </c>
      <c r="I45" s="12" t="s">
        <v>468</v>
      </c>
      <c r="J45" s="12" t="s">
        <v>469</v>
      </c>
      <c r="K45" s="13" t="s">
        <v>470</v>
      </c>
      <c r="L45" s="12" t="s">
        <v>471</v>
      </c>
      <c r="M45" s="12" t="s">
        <v>76</v>
      </c>
      <c r="N45" s="12" t="s">
        <v>51</v>
      </c>
      <c r="O45" s="12"/>
      <c r="P45" s="12" t="s">
        <v>339</v>
      </c>
      <c r="Q45" s="12"/>
      <c r="R45" s="14" t="s">
        <v>53</v>
      </c>
      <c r="S45" s="15" t="s">
        <v>472</v>
      </c>
      <c r="T45" s="12"/>
    </row>
    <row r="46" ht="27.75" customHeight="1">
      <c r="A46" s="46"/>
      <c r="B46" s="47" t="s">
        <v>473</v>
      </c>
      <c r="C46" s="48"/>
      <c r="D46" s="48"/>
      <c r="E46" s="48"/>
      <c r="F46" s="48"/>
      <c r="G46" s="48"/>
      <c r="H46" s="48"/>
      <c r="I46" s="48"/>
      <c r="J46" s="48"/>
      <c r="K46" s="48"/>
      <c r="L46" s="48"/>
      <c r="M46" s="48"/>
      <c r="N46" s="48"/>
      <c r="O46" s="48"/>
      <c r="P46" s="48"/>
      <c r="Q46" s="48"/>
      <c r="R46" s="48"/>
      <c r="S46" s="48"/>
      <c r="T46" s="49"/>
    </row>
    <row r="47">
      <c r="A47" s="24" t="b">
        <v>0</v>
      </c>
      <c r="B47" s="12" t="s">
        <v>474</v>
      </c>
      <c r="C47" s="12" t="s">
        <v>475</v>
      </c>
      <c r="D47" s="12" t="s">
        <v>476</v>
      </c>
      <c r="E47" s="12" t="s">
        <v>477</v>
      </c>
      <c r="F47" s="12" t="s">
        <v>478</v>
      </c>
      <c r="G47" s="12" t="s">
        <v>479</v>
      </c>
      <c r="H47" s="12" t="s">
        <v>480</v>
      </c>
      <c r="I47" s="12" t="s">
        <v>481</v>
      </c>
      <c r="J47" s="12" t="s">
        <v>482</v>
      </c>
      <c r="K47" s="13" t="s">
        <v>483</v>
      </c>
      <c r="L47" s="12" t="s">
        <v>484</v>
      </c>
      <c r="M47" s="12" t="s">
        <v>76</v>
      </c>
      <c r="N47" s="12" t="s">
        <v>51</v>
      </c>
      <c r="O47" s="12"/>
      <c r="P47" s="12" t="s">
        <v>265</v>
      </c>
      <c r="Q47" s="12"/>
      <c r="R47" s="16" t="s">
        <v>91</v>
      </c>
      <c r="S47" s="17" t="s">
        <v>485</v>
      </c>
      <c r="T47" s="12"/>
    </row>
    <row r="48">
      <c r="A48" s="24" t="b">
        <v>0</v>
      </c>
      <c r="B48" s="12" t="s">
        <v>486</v>
      </c>
      <c r="C48" s="12" t="s">
        <v>475</v>
      </c>
      <c r="D48" s="12" t="s">
        <v>476</v>
      </c>
      <c r="E48" s="12" t="s">
        <v>487</v>
      </c>
      <c r="F48" s="12" t="s">
        <v>488</v>
      </c>
      <c r="G48" s="13" t="s">
        <v>489</v>
      </c>
      <c r="H48" s="12" t="s">
        <v>490</v>
      </c>
      <c r="I48" s="12" t="s">
        <v>491</v>
      </c>
      <c r="J48" s="12" t="s">
        <v>492</v>
      </c>
      <c r="K48" s="13" t="s">
        <v>493</v>
      </c>
      <c r="L48" s="12" t="s">
        <v>494</v>
      </c>
      <c r="M48" s="12" t="s">
        <v>76</v>
      </c>
      <c r="N48" s="12" t="s">
        <v>51</v>
      </c>
      <c r="O48" s="12"/>
      <c r="P48" s="12" t="s">
        <v>495</v>
      </c>
      <c r="Q48" s="12"/>
      <c r="R48" s="14" t="s">
        <v>53</v>
      </c>
      <c r="S48" s="15" t="s">
        <v>496</v>
      </c>
      <c r="T48" s="12"/>
    </row>
    <row r="49">
      <c r="A49" s="24" t="b">
        <v>0</v>
      </c>
      <c r="B49" s="12" t="s">
        <v>497</v>
      </c>
      <c r="C49" s="12" t="s">
        <v>475</v>
      </c>
      <c r="D49" s="12" t="s">
        <v>476</v>
      </c>
      <c r="E49" s="12" t="s">
        <v>498</v>
      </c>
      <c r="F49" s="12" t="s">
        <v>499</v>
      </c>
      <c r="G49" s="12" t="s">
        <v>500</v>
      </c>
      <c r="H49" s="12" t="s">
        <v>501</v>
      </c>
      <c r="I49" s="12" t="s">
        <v>502</v>
      </c>
      <c r="J49" s="12" t="s">
        <v>503</v>
      </c>
      <c r="K49" s="13" t="s">
        <v>504</v>
      </c>
      <c r="L49" s="12" t="s">
        <v>505</v>
      </c>
      <c r="M49" s="12" t="s">
        <v>50</v>
      </c>
      <c r="N49" s="12" t="s">
        <v>51</v>
      </c>
      <c r="O49" s="12"/>
      <c r="P49" s="12" t="s">
        <v>265</v>
      </c>
      <c r="Q49" s="12"/>
      <c r="R49" s="16" t="s">
        <v>91</v>
      </c>
      <c r="S49" s="17" t="s">
        <v>506</v>
      </c>
      <c r="T49" s="12"/>
    </row>
    <row r="50">
      <c r="A50" s="24" t="b">
        <v>0</v>
      </c>
      <c r="B50" s="12" t="s">
        <v>507</v>
      </c>
      <c r="C50" s="12" t="s">
        <v>475</v>
      </c>
      <c r="D50" s="12" t="s">
        <v>476</v>
      </c>
      <c r="E50" s="12" t="s">
        <v>508</v>
      </c>
      <c r="F50" s="12" t="s">
        <v>509</v>
      </c>
      <c r="G50" s="12" t="s">
        <v>510</v>
      </c>
      <c r="H50" s="12" t="s">
        <v>511</v>
      </c>
      <c r="I50" s="12" t="s">
        <v>512</v>
      </c>
      <c r="J50" s="12" t="s">
        <v>513</v>
      </c>
      <c r="K50" s="13" t="s">
        <v>514</v>
      </c>
      <c r="L50" s="12" t="s">
        <v>515</v>
      </c>
      <c r="M50" s="12" t="s">
        <v>76</v>
      </c>
      <c r="N50" s="12" t="s">
        <v>51</v>
      </c>
      <c r="O50" s="12"/>
      <c r="P50" s="12" t="s">
        <v>105</v>
      </c>
      <c r="Q50" s="12"/>
      <c r="R50" s="14" t="s">
        <v>53</v>
      </c>
      <c r="S50" s="15" t="s">
        <v>516</v>
      </c>
      <c r="T50" s="12"/>
    </row>
    <row r="51" ht="27.75" customHeight="1">
      <c r="A51" s="50"/>
      <c r="B51" s="51" t="s">
        <v>517</v>
      </c>
      <c r="C51" s="52"/>
      <c r="D51" s="52"/>
      <c r="E51" s="52"/>
      <c r="F51" s="52"/>
      <c r="G51" s="52"/>
      <c r="H51" s="52"/>
      <c r="I51" s="52"/>
      <c r="J51" s="52"/>
      <c r="K51" s="52"/>
      <c r="L51" s="52"/>
      <c r="M51" s="52"/>
      <c r="N51" s="52"/>
      <c r="O51" s="52"/>
      <c r="P51" s="52"/>
      <c r="Q51" s="52"/>
      <c r="R51" s="52"/>
      <c r="S51" s="52"/>
      <c r="T51" s="53"/>
    </row>
    <row r="52">
      <c r="A52" s="11" t="b">
        <v>1</v>
      </c>
      <c r="B52" s="12" t="s">
        <v>518</v>
      </c>
      <c r="C52" s="12" t="s">
        <v>519</v>
      </c>
      <c r="D52" s="12" t="s">
        <v>520</v>
      </c>
      <c r="E52" s="12" t="s">
        <v>521</v>
      </c>
      <c r="F52" s="13" t="s">
        <v>522</v>
      </c>
      <c r="G52" s="12" t="s">
        <v>523</v>
      </c>
      <c r="H52" s="12" t="s">
        <v>524</v>
      </c>
      <c r="I52" s="12" t="s">
        <v>525</v>
      </c>
      <c r="J52" s="12" t="s">
        <v>526</v>
      </c>
      <c r="K52" s="13" t="s">
        <v>527</v>
      </c>
      <c r="L52" s="12" t="s">
        <v>528</v>
      </c>
      <c r="M52" s="12" t="s">
        <v>450</v>
      </c>
      <c r="N52" s="12" t="s">
        <v>51</v>
      </c>
      <c r="O52" s="12"/>
      <c r="P52" s="12" t="s">
        <v>529</v>
      </c>
      <c r="Q52" s="12"/>
      <c r="R52" s="14" t="s">
        <v>53</v>
      </c>
      <c r="S52" s="15" t="s">
        <v>530</v>
      </c>
      <c r="T52" s="12"/>
    </row>
    <row r="53">
      <c r="A53" s="24" t="b">
        <v>0</v>
      </c>
      <c r="B53" s="12" t="s">
        <v>531</v>
      </c>
      <c r="C53" s="12" t="s">
        <v>519</v>
      </c>
      <c r="D53" s="12" t="s">
        <v>520</v>
      </c>
      <c r="E53" s="12" t="s">
        <v>532</v>
      </c>
      <c r="F53" s="12" t="s">
        <v>533</v>
      </c>
      <c r="G53" s="13" t="s">
        <v>534</v>
      </c>
      <c r="H53" s="12" t="s">
        <v>535</v>
      </c>
      <c r="I53" s="12" t="s">
        <v>536</v>
      </c>
      <c r="J53" s="12" t="s">
        <v>537</v>
      </c>
      <c r="K53" s="13" t="s">
        <v>538</v>
      </c>
      <c r="L53" s="12" t="s">
        <v>539</v>
      </c>
      <c r="M53" s="12" t="s">
        <v>450</v>
      </c>
      <c r="N53" s="12" t="s">
        <v>51</v>
      </c>
      <c r="O53" s="12"/>
      <c r="P53" s="12" t="s">
        <v>540</v>
      </c>
      <c r="Q53" s="12"/>
      <c r="R53" s="18" t="s">
        <v>150</v>
      </c>
      <c r="S53" s="19" t="s">
        <v>541</v>
      </c>
      <c r="T53" s="12"/>
    </row>
    <row r="54">
      <c r="A54" s="24" t="b">
        <v>0</v>
      </c>
      <c r="B54" s="12" t="s">
        <v>542</v>
      </c>
      <c r="C54" s="12" t="s">
        <v>519</v>
      </c>
      <c r="D54" s="12" t="s">
        <v>520</v>
      </c>
      <c r="E54" s="12" t="s">
        <v>543</v>
      </c>
      <c r="F54" s="13" t="s">
        <v>544</v>
      </c>
      <c r="G54" s="13" t="s">
        <v>545</v>
      </c>
      <c r="H54" s="12" t="s">
        <v>546</v>
      </c>
      <c r="I54" s="12" t="s">
        <v>547</v>
      </c>
      <c r="J54" s="12" t="s">
        <v>548</v>
      </c>
      <c r="K54" s="13" t="s">
        <v>549</v>
      </c>
      <c r="L54" s="12" t="s">
        <v>550</v>
      </c>
      <c r="M54" s="12" t="s">
        <v>450</v>
      </c>
      <c r="N54" s="12" t="s">
        <v>51</v>
      </c>
      <c r="O54" s="12"/>
      <c r="P54" s="12" t="s">
        <v>551</v>
      </c>
      <c r="Q54" s="12"/>
      <c r="R54" s="18" t="s">
        <v>150</v>
      </c>
      <c r="S54" s="19" t="s">
        <v>552</v>
      </c>
      <c r="T54" s="12"/>
    </row>
    <row r="55">
      <c r="A55" s="24" t="b">
        <v>0</v>
      </c>
      <c r="B55" s="12" t="s">
        <v>553</v>
      </c>
      <c r="C55" s="12" t="s">
        <v>519</v>
      </c>
      <c r="D55" s="12" t="s">
        <v>520</v>
      </c>
      <c r="E55" s="12" t="s">
        <v>554</v>
      </c>
      <c r="F55" s="13" t="s">
        <v>555</v>
      </c>
      <c r="G55" s="13" t="s">
        <v>556</v>
      </c>
      <c r="H55" s="12" t="s">
        <v>557</v>
      </c>
      <c r="I55" s="12" t="s">
        <v>558</v>
      </c>
      <c r="J55" s="12" t="s">
        <v>559</v>
      </c>
      <c r="K55" s="13" t="s">
        <v>560</v>
      </c>
      <c r="L55" s="13" t="s">
        <v>561</v>
      </c>
      <c r="M55" s="12" t="s">
        <v>450</v>
      </c>
      <c r="N55" s="12" t="s">
        <v>51</v>
      </c>
      <c r="O55" s="12"/>
      <c r="P55" s="12" t="s">
        <v>562</v>
      </c>
      <c r="Q55" s="12"/>
      <c r="R55" s="18" t="s">
        <v>150</v>
      </c>
      <c r="S55" s="19" t="s">
        <v>563</v>
      </c>
      <c r="T55" s="12"/>
    </row>
    <row r="56">
      <c r="A56" s="24" t="b">
        <v>0</v>
      </c>
      <c r="B56" s="12" t="s">
        <v>564</v>
      </c>
      <c r="C56" s="12" t="s">
        <v>519</v>
      </c>
      <c r="D56" s="12" t="s">
        <v>520</v>
      </c>
      <c r="E56" s="12" t="s">
        <v>565</v>
      </c>
      <c r="F56" s="12" t="s">
        <v>566</v>
      </c>
      <c r="G56" s="13" t="s">
        <v>567</v>
      </c>
      <c r="H56" s="12" t="s">
        <v>568</v>
      </c>
      <c r="I56" s="12" t="s">
        <v>569</v>
      </c>
      <c r="J56" s="12" t="s">
        <v>570</v>
      </c>
      <c r="K56" s="13" t="s">
        <v>571</v>
      </c>
      <c r="L56" s="12" t="s">
        <v>572</v>
      </c>
      <c r="M56" s="12" t="s">
        <v>161</v>
      </c>
      <c r="N56" s="12" t="s">
        <v>51</v>
      </c>
      <c r="O56" s="12"/>
      <c r="P56" s="12" t="s">
        <v>573</v>
      </c>
      <c r="Q56" s="12"/>
      <c r="R56" s="16" t="s">
        <v>91</v>
      </c>
      <c r="S56" s="17" t="s">
        <v>574</v>
      </c>
      <c r="T56" s="12"/>
    </row>
    <row r="57" ht="15.75" customHeight="1">
      <c r="A57" s="50"/>
      <c r="B57" s="54" t="s">
        <v>575</v>
      </c>
      <c r="C57" s="55"/>
      <c r="D57" s="55"/>
      <c r="E57" s="55"/>
      <c r="F57" s="55"/>
      <c r="G57" s="55"/>
      <c r="H57" s="55"/>
      <c r="I57" s="55"/>
      <c r="J57" s="55"/>
      <c r="K57" s="55"/>
      <c r="L57" s="55"/>
      <c r="M57" s="55"/>
      <c r="N57" s="55"/>
      <c r="O57" s="55"/>
      <c r="P57" s="55"/>
      <c r="Q57" s="55"/>
      <c r="R57" s="55"/>
      <c r="S57" s="55"/>
      <c r="T57" s="56"/>
    </row>
    <row r="58" ht="15.75" customHeight="1">
      <c r="A58" s="11" t="b">
        <v>0</v>
      </c>
      <c r="B58" s="57" t="s">
        <v>576</v>
      </c>
      <c r="C58" s="57" t="s">
        <v>577</v>
      </c>
      <c r="D58" s="58" t="s">
        <v>578</v>
      </c>
      <c r="E58" s="58" t="s">
        <v>579</v>
      </c>
      <c r="F58" s="57" t="s">
        <v>580</v>
      </c>
      <c r="G58" s="58" t="s">
        <v>581</v>
      </c>
      <c r="H58" s="58" t="s">
        <v>582</v>
      </c>
      <c r="I58" s="58" t="s">
        <v>583</v>
      </c>
      <c r="J58" s="58" t="s">
        <v>584</v>
      </c>
      <c r="K58" s="57" t="s">
        <v>585</v>
      </c>
      <c r="L58" s="58" t="s">
        <v>586</v>
      </c>
      <c r="M58" s="58" t="s">
        <v>50</v>
      </c>
      <c r="N58" s="58" t="s">
        <v>587</v>
      </c>
      <c r="O58" s="59" t="s">
        <v>588</v>
      </c>
      <c r="P58" s="59" t="s">
        <v>589</v>
      </c>
      <c r="Q58" s="59" t="s">
        <v>590</v>
      </c>
      <c r="R58" s="60" t="s">
        <v>53</v>
      </c>
      <c r="S58" s="61" t="s">
        <v>591</v>
      </c>
      <c r="T58" s="58" t="s">
        <v>592</v>
      </c>
    </row>
    <row r="59" ht="15.75" customHeight="1">
      <c r="A59" s="24" t="b">
        <v>0</v>
      </c>
      <c r="B59" s="57" t="s">
        <v>593</v>
      </c>
      <c r="C59" s="57" t="s">
        <v>577</v>
      </c>
      <c r="D59" s="58" t="s">
        <v>578</v>
      </c>
      <c r="E59" s="59" t="s">
        <v>594</v>
      </c>
      <c r="F59" s="59" t="s">
        <v>595</v>
      </c>
      <c r="G59" s="57" t="s">
        <v>596</v>
      </c>
      <c r="H59" s="58" t="s">
        <v>597</v>
      </c>
      <c r="I59" s="58" t="s">
        <v>598</v>
      </c>
      <c r="J59" s="58" t="s">
        <v>599</v>
      </c>
      <c r="K59" s="57" t="s">
        <v>600</v>
      </c>
      <c r="L59" s="58" t="s">
        <v>601</v>
      </c>
      <c r="M59" s="58" t="s">
        <v>50</v>
      </c>
      <c r="N59" s="58" t="s">
        <v>587</v>
      </c>
      <c r="O59" s="58" t="s">
        <v>602</v>
      </c>
      <c r="P59" s="58" t="s">
        <v>603</v>
      </c>
      <c r="Q59" s="58"/>
      <c r="R59" s="60" t="s">
        <v>53</v>
      </c>
      <c r="S59" s="61" t="s">
        <v>604</v>
      </c>
      <c r="T59" s="58" t="s">
        <v>605</v>
      </c>
    </row>
    <row r="60" ht="15.75" customHeight="1">
      <c r="A60" s="24" t="b">
        <v>0</v>
      </c>
      <c r="B60" s="57" t="s">
        <v>606</v>
      </c>
      <c r="C60" s="62" t="s">
        <v>577</v>
      </c>
      <c r="D60" s="62" t="s">
        <v>578</v>
      </c>
      <c r="E60" s="59" t="s">
        <v>607</v>
      </c>
      <c r="F60" s="59" t="s">
        <v>608</v>
      </c>
      <c r="G60" s="62" t="s">
        <v>609</v>
      </c>
      <c r="H60" s="59" t="s">
        <v>610</v>
      </c>
      <c r="I60" s="59" t="s">
        <v>611</v>
      </c>
      <c r="J60" s="59" t="s">
        <v>612</v>
      </c>
      <c r="K60" s="62" t="s">
        <v>613</v>
      </c>
      <c r="L60" s="63" t="s">
        <v>614</v>
      </c>
      <c r="M60" s="62" t="s">
        <v>76</v>
      </c>
      <c r="N60" s="62" t="s">
        <v>587</v>
      </c>
      <c r="O60" s="63" t="s">
        <v>615</v>
      </c>
      <c r="P60" s="63" t="s">
        <v>616</v>
      </c>
      <c r="Q60" s="62"/>
      <c r="R60" s="60" t="s">
        <v>53</v>
      </c>
      <c r="S60" s="64" t="s">
        <v>617</v>
      </c>
      <c r="T60" s="62" t="s">
        <v>618</v>
      </c>
    </row>
    <row r="61" ht="15.75" customHeight="1">
      <c r="A61" s="24" t="b">
        <v>0</v>
      </c>
      <c r="B61" s="65" t="s">
        <v>619</v>
      </c>
      <c r="M61" s="66"/>
      <c r="N61" s="66"/>
      <c r="R61" s="67" t="s">
        <v>53</v>
      </c>
    </row>
    <row r="62" ht="15.75" customHeight="1">
      <c r="M62" s="66"/>
      <c r="N62" s="66"/>
    </row>
    <row r="63" ht="15.75" customHeight="1">
      <c r="M63" s="66"/>
      <c r="N63" s="66"/>
    </row>
    <row r="64" ht="15.75" customHeight="1">
      <c r="M64" s="66"/>
      <c r="N64" s="66"/>
    </row>
    <row r="65" ht="15.75" customHeight="1">
      <c r="M65" s="66"/>
      <c r="N65" s="66"/>
    </row>
    <row r="66" ht="15.75" customHeight="1">
      <c r="M66" s="66"/>
      <c r="N66" s="66"/>
    </row>
    <row r="67" ht="15.75" customHeight="1">
      <c r="M67" s="66"/>
      <c r="N67" s="66"/>
    </row>
    <row r="68" ht="15.75" customHeight="1">
      <c r="M68" s="66"/>
      <c r="N68" s="66"/>
    </row>
    <row r="69" ht="15.75" customHeight="1">
      <c r="M69" s="66"/>
      <c r="N69" s="66"/>
    </row>
    <row r="70" ht="15.75" customHeight="1">
      <c r="M70" s="66"/>
      <c r="N70" s="66"/>
    </row>
    <row r="71" ht="15.75" customHeight="1">
      <c r="M71" s="66"/>
      <c r="N71" s="66"/>
    </row>
    <row r="72" ht="15.75" customHeight="1">
      <c r="M72" s="66"/>
      <c r="N72" s="66"/>
    </row>
    <row r="73" ht="15.75" customHeight="1">
      <c r="M73" s="66"/>
      <c r="N73" s="66"/>
    </row>
    <row r="74" ht="15.75" customHeight="1">
      <c r="M74" s="66"/>
      <c r="N74" s="66"/>
    </row>
    <row r="75" ht="15.75" customHeight="1">
      <c r="M75" s="66"/>
      <c r="N75" s="66"/>
    </row>
    <row r="76" ht="15.75" customHeight="1">
      <c r="M76" s="66"/>
      <c r="N76" s="66"/>
    </row>
    <row r="77" ht="15.75" customHeight="1">
      <c r="M77" s="66"/>
      <c r="N77" s="66"/>
    </row>
    <row r="78" ht="15.75" customHeight="1">
      <c r="M78" s="66"/>
      <c r="N78" s="66"/>
    </row>
    <row r="79" ht="15.75" customHeight="1">
      <c r="M79" s="66"/>
      <c r="N79" s="66"/>
    </row>
    <row r="80" ht="15.75" customHeight="1">
      <c r="M80" s="66"/>
      <c r="N80" s="66"/>
    </row>
    <row r="81" ht="15.75" customHeight="1">
      <c r="M81" s="66"/>
      <c r="N81" s="66"/>
    </row>
    <row r="82" ht="15.75" customHeight="1">
      <c r="M82" s="66"/>
      <c r="N82" s="66"/>
    </row>
    <row r="83" ht="15.75" customHeight="1">
      <c r="M83" s="66"/>
      <c r="N83" s="66"/>
    </row>
    <row r="84" ht="15.75" customHeight="1">
      <c r="M84" s="66"/>
      <c r="N84" s="66"/>
    </row>
    <row r="85" ht="15.75" customHeight="1">
      <c r="M85" s="66"/>
      <c r="N85" s="66"/>
    </row>
    <row r="86" ht="15.75" customHeight="1">
      <c r="M86" s="66"/>
      <c r="N86" s="66"/>
    </row>
    <row r="87" ht="15.75" customHeight="1">
      <c r="M87" s="66"/>
      <c r="N87" s="66"/>
    </row>
    <row r="88" ht="15.75" customHeight="1">
      <c r="M88" s="66"/>
      <c r="N88" s="66"/>
    </row>
    <row r="89" ht="15.75" customHeight="1">
      <c r="M89" s="66"/>
      <c r="N89" s="66"/>
    </row>
    <row r="90" ht="15.75" customHeight="1">
      <c r="M90" s="66"/>
      <c r="N90" s="66"/>
    </row>
    <row r="91" ht="15.75" customHeight="1">
      <c r="M91" s="66"/>
      <c r="N91" s="66"/>
    </row>
    <row r="92" ht="15.75" customHeight="1">
      <c r="M92" s="66"/>
      <c r="N92" s="66"/>
    </row>
    <row r="93" ht="15.75" customHeight="1">
      <c r="M93" s="66"/>
      <c r="N93" s="66"/>
    </row>
    <row r="94" ht="15.75" customHeight="1">
      <c r="M94" s="66"/>
      <c r="N94" s="66"/>
    </row>
    <row r="95" ht="15.75" customHeight="1">
      <c r="M95" s="66"/>
      <c r="N95" s="66"/>
    </row>
    <row r="96" ht="15.75" customHeight="1">
      <c r="M96" s="66"/>
      <c r="N96" s="66"/>
    </row>
    <row r="97" ht="15.75" customHeight="1">
      <c r="M97" s="66"/>
      <c r="N97" s="66"/>
    </row>
    <row r="98" ht="15.75" customHeight="1">
      <c r="M98" s="66"/>
      <c r="N98" s="66"/>
    </row>
    <row r="99" ht="15.75" customHeight="1">
      <c r="M99" s="66"/>
      <c r="N99" s="66"/>
    </row>
    <row r="100" ht="15.75" customHeight="1">
      <c r="M100" s="66"/>
      <c r="N100" s="66"/>
    </row>
    <row r="101" ht="15.75" customHeight="1">
      <c r="M101" s="66"/>
      <c r="N101" s="66"/>
    </row>
    <row r="102" ht="15.75" customHeight="1">
      <c r="M102" s="66"/>
      <c r="N102" s="66"/>
    </row>
    <row r="103" ht="15.75" customHeight="1">
      <c r="M103" s="66"/>
      <c r="N103" s="66"/>
    </row>
    <row r="104" ht="15.75" customHeight="1">
      <c r="M104" s="66"/>
      <c r="N104" s="66"/>
    </row>
    <row r="105" ht="15.75" customHeight="1">
      <c r="M105" s="66"/>
      <c r="N105" s="66"/>
    </row>
    <row r="106" ht="15.75" customHeight="1">
      <c r="M106" s="66"/>
      <c r="N106" s="66"/>
    </row>
    <row r="107" ht="15.75" customHeight="1">
      <c r="M107" s="66"/>
      <c r="N107" s="66"/>
    </row>
    <row r="108" ht="15.75" customHeight="1">
      <c r="M108" s="66"/>
      <c r="N108" s="66"/>
    </row>
    <row r="109" ht="15.75" customHeight="1">
      <c r="M109" s="66"/>
      <c r="N109" s="66"/>
    </row>
    <row r="110" ht="15.75" customHeight="1">
      <c r="M110" s="66"/>
      <c r="N110" s="66"/>
    </row>
    <row r="111" ht="15.75" customHeight="1">
      <c r="M111" s="66"/>
      <c r="N111" s="66"/>
    </row>
    <row r="112" ht="15.75" customHeight="1">
      <c r="M112" s="66"/>
      <c r="N112" s="66"/>
    </row>
    <row r="113" ht="15.75" customHeight="1">
      <c r="M113" s="66"/>
      <c r="N113" s="66"/>
    </row>
    <row r="114" ht="15.75" customHeight="1">
      <c r="M114" s="66"/>
      <c r="N114" s="66"/>
    </row>
    <row r="115" ht="15.75" customHeight="1">
      <c r="M115" s="66"/>
      <c r="N115" s="66"/>
    </row>
    <row r="116" ht="15.75" customHeight="1">
      <c r="M116" s="66"/>
      <c r="N116" s="66"/>
    </row>
    <row r="117" ht="15.75" customHeight="1">
      <c r="M117" s="66"/>
      <c r="N117" s="66"/>
    </row>
    <row r="118" ht="15.75" customHeight="1">
      <c r="M118" s="66"/>
      <c r="N118" s="66"/>
    </row>
    <row r="119" ht="15.75" customHeight="1">
      <c r="M119" s="66"/>
      <c r="N119" s="66"/>
    </row>
    <row r="120" ht="15.75" customHeight="1">
      <c r="M120" s="66"/>
      <c r="N120" s="66"/>
    </row>
    <row r="121" ht="15.75" customHeight="1">
      <c r="M121" s="66"/>
      <c r="N121" s="66"/>
    </row>
    <row r="122" ht="15.75" customHeight="1">
      <c r="M122" s="66"/>
      <c r="N122" s="66"/>
    </row>
    <row r="123" ht="15.75" customHeight="1">
      <c r="M123" s="66"/>
      <c r="N123" s="66"/>
    </row>
    <row r="124" ht="15.75" customHeight="1">
      <c r="M124" s="66"/>
      <c r="N124" s="66"/>
    </row>
    <row r="125" ht="15.75" customHeight="1">
      <c r="M125" s="66"/>
      <c r="N125" s="66"/>
    </row>
    <row r="126" ht="15.75" customHeight="1">
      <c r="M126" s="66"/>
      <c r="N126" s="66"/>
    </row>
    <row r="127" ht="15.75" customHeight="1">
      <c r="M127" s="66"/>
      <c r="N127" s="66"/>
    </row>
    <row r="128" ht="15.75" customHeight="1">
      <c r="M128" s="66"/>
      <c r="N128" s="66"/>
    </row>
    <row r="129" ht="15.75" customHeight="1">
      <c r="M129" s="66"/>
      <c r="N129" s="66"/>
    </row>
    <row r="130" ht="15.75" customHeight="1">
      <c r="M130" s="66"/>
      <c r="N130" s="66"/>
    </row>
    <row r="131" ht="15.75" customHeight="1">
      <c r="M131" s="66"/>
      <c r="N131" s="66"/>
    </row>
    <row r="132" ht="15.75" customHeight="1">
      <c r="M132" s="66"/>
      <c r="N132" s="66"/>
    </row>
    <row r="133" ht="15.75" customHeight="1">
      <c r="M133" s="66"/>
      <c r="N133" s="66"/>
    </row>
    <row r="134" ht="15.75" customHeight="1">
      <c r="M134" s="66"/>
      <c r="N134" s="66"/>
    </row>
    <row r="135" ht="15.75" customHeight="1">
      <c r="M135" s="66"/>
      <c r="N135" s="66"/>
    </row>
    <row r="136" ht="15.75" customHeight="1">
      <c r="M136" s="66"/>
      <c r="N136" s="66"/>
    </row>
    <row r="137" ht="15.75" customHeight="1">
      <c r="M137" s="66"/>
      <c r="N137" s="66"/>
    </row>
    <row r="138" ht="15.75" customHeight="1">
      <c r="M138" s="66"/>
      <c r="N138" s="66"/>
    </row>
    <row r="139" ht="15.75" customHeight="1">
      <c r="M139" s="66"/>
      <c r="N139" s="66"/>
    </row>
    <row r="140" ht="15.75" customHeight="1">
      <c r="M140" s="66"/>
      <c r="N140" s="66"/>
    </row>
    <row r="141" ht="15.75" customHeight="1">
      <c r="M141" s="66"/>
      <c r="N141" s="66"/>
    </row>
    <row r="142" ht="15.75" customHeight="1">
      <c r="M142" s="66"/>
      <c r="N142" s="66"/>
    </row>
    <row r="143" ht="15.75" customHeight="1">
      <c r="M143" s="66"/>
      <c r="N143" s="66"/>
    </row>
    <row r="144" ht="15.75" customHeight="1">
      <c r="M144" s="66"/>
      <c r="N144" s="66"/>
    </row>
    <row r="145" ht="15.75" customHeight="1">
      <c r="M145" s="66"/>
      <c r="N145" s="66"/>
    </row>
    <row r="146" ht="15.75" customHeight="1">
      <c r="M146" s="66"/>
      <c r="N146" s="66"/>
    </row>
    <row r="147" ht="15.75" customHeight="1">
      <c r="M147" s="66"/>
      <c r="N147" s="66"/>
    </row>
    <row r="148" ht="15.75" customHeight="1">
      <c r="M148" s="66"/>
      <c r="N148" s="66"/>
    </row>
    <row r="149" ht="15.75" customHeight="1">
      <c r="M149" s="66"/>
      <c r="N149" s="66"/>
    </row>
    <row r="150" ht="15.75" customHeight="1">
      <c r="M150" s="66"/>
      <c r="N150" s="66"/>
    </row>
    <row r="151" ht="15.75" customHeight="1">
      <c r="M151" s="66"/>
      <c r="N151" s="66"/>
    </row>
    <row r="152" ht="15.75" customHeight="1">
      <c r="M152" s="66"/>
      <c r="N152" s="66"/>
    </row>
    <row r="153" ht="15.75" customHeight="1">
      <c r="M153" s="66"/>
      <c r="N153" s="66"/>
    </row>
    <row r="154" ht="15.75" customHeight="1">
      <c r="M154" s="66"/>
      <c r="N154" s="66"/>
    </row>
    <row r="155" ht="15.75" customHeight="1">
      <c r="M155" s="66"/>
      <c r="N155" s="66"/>
    </row>
    <row r="156" ht="15.75" customHeight="1">
      <c r="M156" s="66"/>
      <c r="N156" s="66"/>
    </row>
    <row r="157" ht="15.75" customHeight="1">
      <c r="M157" s="66"/>
      <c r="N157" s="66"/>
    </row>
    <row r="158" ht="15.75" customHeight="1">
      <c r="M158" s="66"/>
      <c r="N158" s="66"/>
    </row>
    <row r="159" ht="15.75" customHeight="1">
      <c r="M159" s="66"/>
      <c r="N159" s="66"/>
    </row>
    <row r="160" ht="15.75" customHeight="1">
      <c r="M160" s="66"/>
      <c r="N160" s="66"/>
    </row>
    <row r="161" ht="15.75" customHeight="1">
      <c r="M161" s="66"/>
      <c r="N161" s="66"/>
    </row>
    <row r="162" ht="15.75" customHeight="1">
      <c r="M162" s="66"/>
      <c r="N162" s="66"/>
    </row>
    <row r="163" ht="15.75" customHeight="1">
      <c r="M163" s="66"/>
      <c r="N163" s="66"/>
    </row>
    <row r="164" ht="15.75" customHeight="1">
      <c r="M164" s="66"/>
      <c r="N164" s="66"/>
    </row>
    <row r="165" ht="15.75" customHeight="1">
      <c r="M165" s="66"/>
      <c r="N165" s="66"/>
    </row>
    <row r="166" ht="15.75" customHeight="1">
      <c r="M166" s="66"/>
      <c r="N166" s="66"/>
    </row>
    <row r="167" ht="15.75" customHeight="1">
      <c r="M167" s="66"/>
      <c r="N167" s="66"/>
    </row>
    <row r="168" ht="15.75" customHeight="1">
      <c r="M168" s="66"/>
      <c r="N168" s="66"/>
    </row>
    <row r="169" ht="15.75" customHeight="1">
      <c r="M169" s="66"/>
      <c r="N169" s="66"/>
    </row>
    <row r="170" ht="15.75" customHeight="1">
      <c r="M170" s="66"/>
      <c r="N170" s="66"/>
    </row>
    <row r="171" ht="15.75" customHeight="1">
      <c r="M171" s="66"/>
      <c r="N171" s="66"/>
    </row>
    <row r="172" ht="15.75" customHeight="1">
      <c r="M172" s="66"/>
      <c r="N172" s="66"/>
    </row>
    <row r="173" ht="15.75" customHeight="1">
      <c r="M173" s="66"/>
      <c r="N173" s="66"/>
    </row>
    <row r="174" ht="15.75" customHeight="1">
      <c r="M174" s="66"/>
      <c r="N174" s="66"/>
    </row>
    <row r="175" ht="15.75" customHeight="1">
      <c r="M175" s="66"/>
      <c r="N175" s="66"/>
    </row>
    <row r="176" ht="15.75" customHeight="1">
      <c r="M176" s="66"/>
      <c r="N176" s="66"/>
    </row>
    <row r="177" ht="15.75" customHeight="1">
      <c r="M177" s="66"/>
      <c r="N177" s="66"/>
    </row>
    <row r="178" ht="15.75" customHeight="1">
      <c r="M178" s="66"/>
      <c r="N178" s="66"/>
    </row>
    <row r="179" ht="15.75" customHeight="1">
      <c r="M179" s="66"/>
      <c r="N179" s="66"/>
    </row>
    <row r="180" ht="15.75" customHeight="1">
      <c r="M180" s="66"/>
      <c r="N180" s="66"/>
    </row>
    <row r="181" ht="15.75" customHeight="1">
      <c r="M181" s="66"/>
      <c r="N181" s="66"/>
    </row>
    <row r="182" ht="15.75" customHeight="1">
      <c r="M182" s="66"/>
      <c r="N182" s="66"/>
    </row>
    <row r="183" ht="15.75" customHeight="1">
      <c r="M183" s="66"/>
      <c r="N183" s="66"/>
    </row>
    <row r="184" ht="15.75" customHeight="1">
      <c r="M184" s="66"/>
      <c r="N184" s="66"/>
    </row>
    <row r="185" ht="15.75" customHeight="1">
      <c r="M185" s="66"/>
      <c r="N185" s="66"/>
    </row>
    <row r="186" ht="15.75" customHeight="1">
      <c r="M186" s="66"/>
      <c r="N186" s="66"/>
    </row>
    <row r="187" ht="15.75" customHeight="1">
      <c r="M187" s="66"/>
      <c r="N187" s="66"/>
    </row>
    <row r="188" ht="15.75" customHeight="1">
      <c r="M188" s="66"/>
      <c r="N188" s="66"/>
    </row>
    <row r="189" ht="15.75" customHeight="1">
      <c r="M189" s="66"/>
      <c r="N189" s="66"/>
    </row>
    <row r="190" ht="15.75" customHeight="1">
      <c r="M190" s="66"/>
      <c r="N190" s="66"/>
    </row>
    <row r="191" ht="15.75" customHeight="1">
      <c r="M191" s="66"/>
      <c r="N191" s="66"/>
    </row>
    <row r="192" ht="15.75" customHeight="1">
      <c r="M192" s="66"/>
      <c r="N192" s="66"/>
    </row>
    <row r="193" ht="15.75" customHeight="1">
      <c r="M193" s="66"/>
      <c r="N193" s="66"/>
    </row>
    <row r="194" ht="15.75" customHeight="1">
      <c r="M194" s="66"/>
      <c r="N194" s="66"/>
    </row>
    <row r="195" ht="15.75" customHeight="1">
      <c r="M195" s="66"/>
      <c r="N195" s="66"/>
    </row>
    <row r="196" ht="15.75" customHeight="1">
      <c r="M196" s="66"/>
      <c r="N196" s="66"/>
    </row>
    <row r="197" ht="15.75" customHeight="1">
      <c r="M197" s="66"/>
      <c r="N197" s="66"/>
    </row>
    <row r="198" ht="15.75" customHeight="1">
      <c r="M198" s="66"/>
      <c r="N198" s="66"/>
    </row>
    <row r="199" ht="15.75" customHeight="1">
      <c r="M199" s="66"/>
      <c r="N199" s="66"/>
    </row>
    <row r="200" ht="15.75" customHeight="1">
      <c r="M200" s="66"/>
      <c r="N200" s="66"/>
    </row>
    <row r="201" ht="15.75" customHeight="1">
      <c r="M201" s="66"/>
      <c r="N201" s="66"/>
    </row>
    <row r="202" ht="15.75" customHeight="1">
      <c r="M202" s="66"/>
      <c r="N202" s="66"/>
    </row>
    <row r="203" ht="15.75" customHeight="1">
      <c r="M203" s="66"/>
      <c r="N203" s="66"/>
    </row>
    <row r="204" ht="15.75" customHeight="1">
      <c r="M204" s="66"/>
      <c r="N204" s="66"/>
    </row>
    <row r="205" ht="15.75" customHeight="1">
      <c r="M205" s="66"/>
      <c r="N205" s="66"/>
    </row>
    <row r="206" ht="15.75" customHeight="1">
      <c r="M206" s="66"/>
      <c r="N206" s="66"/>
    </row>
    <row r="207" ht="15.75" customHeight="1">
      <c r="M207" s="66"/>
      <c r="N207" s="66"/>
    </row>
    <row r="208" ht="15.75" customHeight="1">
      <c r="M208" s="66"/>
      <c r="N208" s="66"/>
    </row>
    <row r="209" ht="15.75" customHeight="1">
      <c r="M209" s="66"/>
      <c r="N209" s="66"/>
    </row>
    <row r="210" ht="15.75" customHeight="1">
      <c r="M210" s="66"/>
      <c r="N210" s="66"/>
    </row>
    <row r="211" ht="15.75" customHeight="1">
      <c r="M211" s="66"/>
      <c r="N211" s="66"/>
    </row>
    <row r="212" ht="15.75" customHeight="1">
      <c r="M212" s="66"/>
      <c r="N212" s="66"/>
    </row>
    <row r="213" ht="15.75" customHeight="1">
      <c r="M213" s="66"/>
      <c r="N213" s="66"/>
    </row>
    <row r="214" ht="15.75" customHeight="1">
      <c r="M214" s="66"/>
      <c r="N214" s="66"/>
    </row>
    <row r="215" ht="15.75" customHeight="1">
      <c r="M215" s="66"/>
      <c r="N215" s="66"/>
    </row>
    <row r="216" ht="15.75" customHeight="1">
      <c r="M216" s="66"/>
      <c r="N216" s="66"/>
    </row>
    <row r="217" ht="15.75" customHeight="1">
      <c r="M217" s="66"/>
      <c r="N217" s="66"/>
    </row>
    <row r="218" ht="15.75" customHeight="1">
      <c r="M218" s="66"/>
      <c r="N218" s="66"/>
    </row>
    <row r="219" ht="15.75" customHeight="1">
      <c r="M219" s="66"/>
      <c r="N219" s="66"/>
    </row>
    <row r="220" ht="15.75" customHeight="1">
      <c r="M220" s="66"/>
      <c r="N220" s="66"/>
    </row>
    <row r="221" ht="15.75" customHeight="1">
      <c r="M221" s="66"/>
      <c r="N221" s="66"/>
    </row>
    <row r="222" ht="15.75" customHeight="1">
      <c r="M222" s="66"/>
      <c r="N222" s="66"/>
    </row>
    <row r="223" ht="15.75" customHeight="1">
      <c r="M223" s="66"/>
      <c r="N223" s="66"/>
    </row>
    <row r="224" ht="15.75" customHeight="1">
      <c r="M224" s="66"/>
      <c r="N224" s="66"/>
    </row>
    <row r="225" ht="15.75" customHeight="1">
      <c r="M225" s="66"/>
      <c r="N225" s="66"/>
    </row>
    <row r="226" ht="15.75" customHeight="1">
      <c r="M226" s="66"/>
      <c r="N226" s="66"/>
    </row>
    <row r="227" ht="15.75" customHeight="1">
      <c r="M227" s="66"/>
      <c r="N227" s="66"/>
    </row>
    <row r="228" ht="15.75" customHeight="1">
      <c r="M228" s="66"/>
      <c r="N228" s="66"/>
    </row>
    <row r="229" ht="15.75" customHeight="1">
      <c r="M229" s="66"/>
      <c r="N229" s="66"/>
    </row>
    <row r="230" ht="15.75" customHeight="1">
      <c r="M230" s="66"/>
      <c r="N230" s="66"/>
    </row>
    <row r="231" ht="15.75" customHeight="1">
      <c r="M231" s="66"/>
      <c r="N231" s="66"/>
    </row>
    <row r="232" ht="15.75" customHeight="1">
      <c r="M232" s="66"/>
      <c r="N232" s="66"/>
    </row>
    <row r="233" ht="15.75" customHeight="1">
      <c r="M233" s="66"/>
      <c r="N233" s="66"/>
    </row>
    <row r="234" ht="15.75" customHeight="1">
      <c r="M234" s="66"/>
      <c r="N234" s="66"/>
    </row>
    <row r="235" ht="15.75" customHeight="1">
      <c r="M235" s="66"/>
      <c r="N235" s="66"/>
    </row>
    <row r="236" ht="15.75" customHeight="1">
      <c r="M236" s="66"/>
      <c r="N236" s="66"/>
    </row>
    <row r="237" ht="15.75" customHeight="1">
      <c r="M237" s="66"/>
      <c r="N237" s="66"/>
    </row>
    <row r="238" ht="15.75" customHeight="1">
      <c r="M238" s="66"/>
      <c r="N238" s="66"/>
    </row>
    <row r="239" ht="15.75" customHeight="1">
      <c r="M239" s="66"/>
      <c r="N239" s="66"/>
    </row>
    <row r="240" ht="15.75" customHeight="1">
      <c r="M240" s="66"/>
      <c r="N240" s="66"/>
    </row>
    <row r="241" ht="15.75" customHeight="1">
      <c r="M241" s="66"/>
      <c r="N241" s="66"/>
    </row>
    <row r="242" ht="15.75" customHeight="1">
      <c r="M242" s="66"/>
      <c r="N242" s="66"/>
    </row>
    <row r="243" ht="15.75" customHeight="1">
      <c r="M243" s="66"/>
      <c r="N243" s="66"/>
    </row>
    <row r="244" ht="15.75" customHeight="1">
      <c r="M244" s="66"/>
      <c r="N244" s="66"/>
    </row>
    <row r="245" ht="15.75" customHeight="1">
      <c r="M245" s="66"/>
      <c r="N245" s="66"/>
    </row>
    <row r="246" ht="15.75" customHeight="1">
      <c r="M246" s="66"/>
      <c r="N246" s="66"/>
    </row>
    <row r="247" ht="15.75" customHeight="1">
      <c r="M247" s="66"/>
      <c r="N247" s="66"/>
    </row>
    <row r="248" ht="15.75" customHeight="1">
      <c r="M248" s="66"/>
      <c r="N248" s="66"/>
    </row>
    <row r="249" ht="15.75" customHeight="1">
      <c r="M249" s="66"/>
      <c r="N249" s="66"/>
    </row>
    <row r="250" ht="15.75" customHeight="1">
      <c r="M250" s="66"/>
      <c r="N250" s="66"/>
    </row>
    <row r="251" ht="15.75" customHeight="1">
      <c r="M251" s="66"/>
      <c r="N251" s="66"/>
    </row>
    <row r="252" ht="15.75" customHeight="1">
      <c r="M252" s="66"/>
      <c r="N252" s="66"/>
    </row>
    <row r="253" ht="15.75" customHeight="1">
      <c r="M253" s="66"/>
      <c r="N253" s="66"/>
    </row>
    <row r="254" ht="15.75" customHeight="1">
      <c r="M254" s="66"/>
      <c r="N254" s="66"/>
    </row>
    <row r="255" ht="15.75" customHeight="1">
      <c r="M255" s="66"/>
      <c r="N255" s="66"/>
    </row>
    <row r="256" ht="15.75" customHeight="1">
      <c r="M256" s="66"/>
      <c r="N256" s="66"/>
    </row>
    <row r="257" ht="15.75" customHeight="1">
      <c r="M257" s="66"/>
      <c r="N257" s="66"/>
    </row>
    <row r="258" ht="15.75" customHeight="1">
      <c r="M258" s="66"/>
      <c r="N258" s="66"/>
    </row>
    <row r="259" ht="15.75" customHeight="1">
      <c r="M259" s="66"/>
      <c r="N259" s="66"/>
    </row>
    <row r="260" ht="15.75" customHeight="1">
      <c r="M260" s="66"/>
      <c r="N260" s="66"/>
    </row>
    <row r="261" ht="15.75" customHeight="1">
      <c r="M261" s="66"/>
      <c r="N261" s="66"/>
    </row>
    <row r="262" ht="15.75" customHeight="1">
      <c r="M262" s="66"/>
      <c r="N262" s="66"/>
    </row>
    <row r="263" ht="15.75" customHeight="1">
      <c r="M263" s="66"/>
      <c r="N263" s="66"/>
    </row>
    <row r="264" ht="15.75" customHeight="1">
      <c r="M264" s="66"/>
      <c r="N264" s="66"/>
    </row>
    <row r="265" ht="15.75" customHeight="1">
      <c r="M265" s="66"/>
      <c r="N265" s="66"/>
    </row>
    <row r="266" ht="15.75" customHeight="1">
      <c r="M266" s="66"/>
      <c r="N266" s="66"/>
    </row>
    <row r="267" ht="15.75" customHeight="1">
      <c r="M267" s="66"/>
      <c r="N267" s="66"/>
    </row>
    <row r="268" ht="15.75" customHeight="1">
      <c r="M268" s="66"/>
      <c r="N268" s="66"/>
    </row>
    <row r="269" ht="15.75" customHeight="1">
      <c r="M269" s="66"/>
      <c r="N269" s="66"/>
    </row>
    <row r="270" ht="15.75" customHeight="1">
      <c r="M270" s="66"/>
      <c r="N270" s="66"/>
    </row>
    <row r="271" ht="15.75" customHeight="1">
      <c r="M271" s="66"/>
      <c r="N271" s="66"/>
    </row>
    <row r="272" ht="15.75" customHeight="1">
      <c r="M272" s="66"/>
      <c r="N272" s="66"/>
    </row>
    <row r="273" ht="15.75" customHeight="1">
      <c r="M273" s="66"/>
      <c r="N273" s="66"/>
    </row>
    <row r="274" ht="15.75" customHeight="1">
      <c r="M274" s="66"/>
      <c r="N274" s="66"/>
    </row>
    <row r="275" ht="15.75" customHeight="1">
      <c r="M275" s="66"/>
      <c r="N275" s="66"/>
    </row>
    <row r="276" ht="15.75" customHeight="1">
      <c r="M276" s="66"/>
      <c r="N276" s="66"/>
    </row>
    <row r="277" ht="15.75" customHeight="1">
      <c r="M277" s="66"/>
      <c r="N277" s="66"/>
    </row>
    <row r="278" ht="15.75" customHeight="1">
      <c r="M278" s="66"/>
      <c r="N278" s="66"/>
    </row>
    <row r="279" ht="15.75" customHeight="1">
      <c r="M279" s="66"/>
      <c r="N279" s="66"/>
    </row>
    <row r="280" ht="15.75" customHeight="1">
      <c r="M280" s="66"/>
      <c r="N280" s="66"/>
    </row>
    <row r="281" ht="15.75" customHeight="1">
      <c r="M281" s="66"/>
      <c r="N281" s="66"/>
    </row>
    <row r="282" ht="15.75" customHeight="1">
      <c r="M282" s="66"/>
      <c r="N282" s="66"/>
    </row>
    <row r="283" ht="15.75" customHeight="1">
      <c r="M283" s="66"/>
      <c r="N283" s="66"/>
    </row>
    <row r="284" ht="15.75" customHeight="1">
      <c r="M284" s="66"/>
      <c r="N284" s="66"/>
    </row>
    <row r="285" ht="15.75" customHeight="1">
      <c r="M285" s="66"/>
      <c r="N285" s="66"/>
    </row>
    <row r="286" ht="15.75" customHeight="1">
      <c r="M286" s="66"/>
      <c r="N286" s="66"/>
    </row>
    <row r="287" ht="15.75" customHeight="1">
      <c r="M287" s="66"/>
      <c r="N287" s="66"/>
    </row>
    <row r="288" ht="15.75" customHeight="1">
      <c r="M288" s="66"/>
      <c r="N288" s="66"/>
    </row>
    <row r="289" ht="15.75" customHeight="1">
      <c r="M289" s="66"/>
      <c r="N289" s="66"/>
    </row>
    <row r="290" ht="15.75" customHeight="1">
      <c r="M290" s="66"/>
      <c r="N290" s="66"/>
    </row>
    <row r="291" ht="15.75" customHeight="1">
      <c r="M291" s="66"/>
      <c r="N291" s="66"/>
    </row>
    <row r="292" ht="15.75" customHeight="1">
      <c r="M292" s="66"/>
      <c r="N292" s="66"/>
    </row>
    <row r="293" ht="15.75" customHeight="1">
      <c r="M293" s="66"/>
      <c r="N293" s="66"/>
    </row>
    <row r="294" ht="15.75" customHeight="1">
      <c r="M294" s="66"/>
      <c r="N294" s="66"/>
    </row>
    <row r="295" ht="15.75" customHeight="1">
      <c r="M295" s="66"/>
      <c r="N295" s="66"/>
    </row>
    <row r="296" ht="15.75" customHeight="1">
      <c r="M296" s="66"/>
      <c r="N296" s="66"/>
    </row>
    <row r="297" ht="15.75" customHeight="1">
      <c r="M297" s="66"/>
      <c r="N297" s="66"/>
    </row>
    <row r="298" ht="15.75" customHeight="1">
      <c r="M298" s="66"/>
      <c r="N298" s="66"/>
    </row>
    <row r="299" ht="15.75" customHeight="1">
      <c r="M299" s="66"/>
      <c r="N299" s="66"/>
    </row>
    <row r="300" ht="15.75" customHeight="1">
      <c r="M300" s="66"/>
      <c r="N300" s="66"/>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T$59"/>
  <dataValidations>
    <dataValidation type="list" allowBlank="1" sqref="M3:M12 M14:M18 M20:M23 M25:M28 M30:M33 M35:M39 M41:M45 M47:M50 M52:M56 M58:M300">
      <formula1>"P0 - Critical,P1 - High,P2 - Medium,P3 - Low"</formula1>
    </dataValidation>
    <dataValidation type="list" allowBlank="1" sqref="N3:N12 N14:N18 N20:N23 N25:N28 N30:N33 N35:N39 N41:N45 N47:N50 N52:N56 N58:N300">
      <formula1>"Not Started,In Progress,Draft,Review,Complete"</formula1>
    </dataValidation>
  </dataValidations>
  <printOptions/>
  <pageMargins bottom="1.0" footer="0.0" header="0.0" left="0.75" right="0.75" top="1.0"/>
  <pageSetup orientation="landscape" paperHeight="11.692913385826772in" paperWidth="27.559055118110233i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579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0.0"/>
    <col customWidth="1" min="3" max="4" width="45.0"/>
    <col customWidth="1" min="5" max="5" width="35.0"/>
    <col customWidth="1" min="6" max="26" width="8.71"/>
  </cols>
  <sheetData>
    <row r="1">
      <c r="A1" s="5" t="s">
        <v>620</v>
      </c>
      <c r="B1" s="5" t="s">
        <v>621</v>
      </c>
      <c r="C1" s="5" t="s">
        <v>622</v>
      </c>
      <c r="D1" s="5" t="s">
        <v>623</v>
      </c>
      <c r="E1" s="5" t="s">
        <v>624</v>
      </c>
    </row>
    <row r="2" ht="49.5" customHeight="1">
      <c r="A2" s="12" t="s">
        <v>19</v>
      </c>
      <c r="B2" s="12" t="s">
        <v>625</v>
      </c>
      <c r="C2" s="12" t="s">
        <v>626</v>
      </c>
      <c r="D2" s="12" t="s">
        <v>39</v>
      </c>
      <c r="E2" s="12" t="s">
        <v>627</v>
      </c>
    </row>
    <row r="3" ht="49.5" customHeight="1">
      <c r="A3" s="12" t="s">
        <v>20</v>
      </c>
      <c r="B3" s="12" t="s">
        <v>628</v>
      </c>
      <c r="C3" s="12" t="s">
        <v>629</v>
      </c>
      <c r="D3" s="12" t="s">
        <v>40</v>
      </c>
      <c r="E3" s="12" t="s">
        <v>630</v>
      </c>
    </row>
    <row r="4" ht="49.5" customHeight="1">
      <c r="A4" s="12" t="s">
        <v>21</v>
      </c>
      <c r="B4" s="12" t="s">
        <v>631</v>
      </c>
      <c r="C4" s="12" t="s">
        <v>632</v>
      </c>
      <c r="D4" s="12" t="s">
        <v>41</v>
      </c>
      <c r="E4" s="12" t="s">
        <v>633</v>
      </c>
    </row>
    <row r="5" ht="49.5" customHeight="1">
      <c r="A5" s="12" t="s">
        <v>22</v>
      </c>
      <c r="B5" s="12" t="s">
        <v>634</v>
      </c>
      <c r="C5" s="12" t="s">
        <v>635</v>
      </c>
      <c r="D5" s="12" t="s">
        <v>636</v>
      </c>
      <c r="E5" s="12" t="s">
        <v>637</v>
      </c>
    </row>
    <row r="6" ht="49.5" customHeight="1">
      <c r="A6" s="12" t="s">
        <v>23</v>
      </c>
      <c r="B6" s="12" t="s">
        <v>638</v>
      </c>
      <c r="C6" s="12" t="s">
        <v>639</v>
      </c>
      <c r="D6" s="12" t="s">
        <v>640</v>
      </c>
      <c r="E6" s="12" t="s">
        <v>641</v>
      </c>
    </row>
    <row r="7" ht="49.5" customHeight="1">
      <c r="A7" s="12" t="s">
        <v>24</v>
      </c>
      <c r="B7" s="12" t="s">
        <v>642</v>
      </c>
      <c r="C7" s="12" t="s">
        <v>643</v>
      </c>
      <c r="D7" s="12" t="s">
        <v>644</v>
      </c>
      <c r="E7" s="12" t="s">
        <v>645</v>
      </c>
    </row>
    <row r="8" ht="49.5" customHeight="1">
      <c r="A8" s="12" t="s">
        <v>25</v>
      </c>
      <c r="B8" s="12" t="s">
        <v>646</v>
      </c>
      <c r="C8" s="12" t="s">
        <v>647</v>
      </c>
      <c r="D8" s="12" t="s">
        <v>648</v>
      </c>
      <c r="E8" s="12" t="s">
        <v>649</v>
      </c>
    </row>
    <row r="9" ht="49.5" customHeight="1">
      <c r="A9" s="12" t="s">
        <v>26</v>
      </c>
      <c r="B9" s="12" t="s">
        <v>650</v>
      </c>
      <c r="C9" s="12" t="s">
        <v>651</v>
      </c>
      <c r="D9" s="12" t="s">
        <v>652</v>
      </c>
      <c r="E9" s="12" t="s">
        <v>653</v>
      </c>
    </row>
    <row r="10" ht="49.5" customHeight="1">
      <c r="A10" s="12" t="s">
        <v>27</v>
      </c>
      <c r="B10" s="12" t="s">
        <v>654</v>
      </c>
      <c r="C10" s="12" t="s">
        <v>655</v>
      </c>
      <c r="D10" s="12" t="s">
        <v>656</v>
      </c>
      <c r="E10" s="12" t="s">
        <v>657</v>
      </c>
    </row>
    <row r="11" ht="49.5" customHeight="1">
      <c r="A11" s="12" t="s">
        <v>28</v>
      </c>
      <c r="B11" s="12" t="s">
        <v>658</v>
      </c>
      <c r="C11" s="12" t="s">
        <v>659</v>
      </c>
      <c r="D11" s="13" t="s">
        <v>660</v>
      </c>
      <c r="E11" s="12" t="s">
        <v>661</v>
      </c>
    </row>
    <row r="12" ht="49.5" customHeight="1">
      <c r="A12" s="12" t="s">
        <v>662</v>
      </c>
      <c r="B12" s="12" t="s">
        <v>663</v>
      </c>
      <c r="C12" s="12" t="s">
        <v>664</v>
      </c>
      <c r="D12" s="12" t="s">
        <v>665</v>
      </c>
      <c r="E12" s="12" t="s">
        <v>630</v>
      </c>
    </row>
    <row r="13" ht="49.5" customHeight="1">
      <c r="A13" s="12" t="s">
        <v>30</v>
      </c>
      <c r="B13" s="12" t="s">
        <v>666</v>
      </c>
      <c r="C13" s="12" t="s">
        <v>667</v>
      </c>
      <c r="D13" s="12" t="s">
        <v>50</v>
      </c>
      <c r="E13" s="12" t="s">
        <v>668</v>
      </c>
    </row>
    <row r="14" ht="49.5" customHeight="1">
      <c r="A14" s="12" t="s">
        <v>18</v>
      </c>
      <c r="B14" s="12" t="s">
        <v>669</v>
      </c>
      <c r="C14" s="12" t="s">
        <v>670</v>
      </c>
      <c r="D14" s="12" t="s">
        <v>587</v>
      </c>
      <c r="E14" s="12" t="s">
        <v>671</v>
      </c>
    </row>
    <row r="15" ht="49.5" customHeight="1">
      <c r="A15" s="12" t="s">
        <v>672</v>
      </c>
      <c r="B15" s="12" t="s">
        <v>673</v>
      </c>
      <c r="C15" s="12" t="s">
        <v>674</v>
      </c>
      <c r="D15" s="12" t="s">
        <v>675</v>
      </c>
      <c r="E15" s="12" t="s">
        <v>676</v>
      </c>
    </row>
    <row r="16" ht="49.5" customHeight="1">
      <c r="A16" s="12" t="s">
        <v>33</v>
      </c>
      <c r="B16" s="12" t="s">
        <v>677</v>
      </c>
      <c r="C16" s="12" t="s">
        <v>678</v>
      </c>
      <c r="D16" s="12" t="s">
        <v>428</v>
      </c>
      <c r="E16" s="12" t="s">
        <v>679</v>
      </c>
    </row>
    <row r="17" ht="49.5" customHeight="1">
      <c r="A17" s="12" t="s">
        <v>35</v>
      </c>
      <c r="B17" s="12" t="s">
        <v>680</v>
      </c>
      <c r="C17" s="12" t="s">
        <v>681</v>
      </c>
      <c r="D17" s="12" t="s">
        <v>53</v>
      </c>
      <c r="E17" s="12" t="s">
        <v>682</v>
      </c>
    </row>
    <row r="18" ht="49.5" customHeight="1">
      <c r="A18" s="12" t="s">
        <v>36</v>
      </c>
      <c r="B18" s="12" t="s">
        <v>683</v>
      </c>
      <c r="C18" s="12" t="s">
        <v>684</v>
      </c>
      <c r="D18" s="12" t="s">
        <v>685</v>
      </c>
      <c r="E18" s="12" t="s">
        <v>630</v>
      </c>
    </row>
    <row r="19" ht="49.5" customHeight="1">
      <c r="A19" s="12" t="s">
        <v>37</v>
      </c>
      <c r="B19" s="12" t="s">
        <v>686</v>
      </c>
      <c r="C19" s="13" t="s">
        <v>687</v>
      </c>
      <c r="D19" s="12" t="s">
        <v>688</v>
      </c>
      <c r="E19" s="12" t="s">
        <v>689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579B"/>
    <pageSetUpPr/>
  </sheetPr>
  <sheetViews>
    <sheetView workbookViewId="0"/>
  </sheetViews>
  <sheetFormatPr customHeight="1" defaultColWidth="14.43" defaultRowHeight="15.0"/>
  <cols>
    <col customWidth="1" min="1" max="1" width="30.0"/>
    <col customWidth="1" min="2" max="2" width="12.0"/>
    <col customWidth="1" min="3" max="3" width="60.0"/>
    <col customWidth="1" min="4" max="26" width="8.71"/>
  </cols>
  <sheetData>
    <row r="1">
      <c r="A1" s="5" t="s">
        <v>35</v>
      </c>
      <c r="B1" s="5" t="s">
        <v>690</v>
      </c>
      <c r="C1" s="5" t="s">
        <v>691</v>
      </c>
    </row>
    <row r="2" ht="45.0" customHeight="1">
      <c r="A2" s="68" t="s">
        <v>53</v>
      </c>
      <c r="B2" s="69">
        <v>34.0</v>
      </c>
      <c r="C2" s="12" t="s">
        <v>692</v>
      </c>
    </row>
    <row r="3" ht="45.0" customHeight="1">
      <c r="A3" s="70" t="s">
        <v>91</v>
      </c>
      <c r="B3" s="69">
        <v>6.0</v>
      </c>
      <c r="C3" s="12" t="s">
        <v>693</v>
      </c>
    </row>
    <row r="4" ht="45.0" customHeight="1">
      <c r="A4" s="71" t="s">
        <v>150</v>
      </c>
      <c r="B4" s="69">
        <v>6.0</v>
      </c>
      <c r="C4" s="12" t="s">
        <v>694</v>
      </c>
    </row>
    <row r="5" ht="45.0" customHeight="1">
      <c r="A5" s="72" t="s">
        <v>695</v>
      </c>
      <c r="B5" s="73">
        <v>46.0</v>
      </c>
      <c r="C5" s="12"/>
    </row>
    <row r="7" ht="30.0" customHeight="1">
      <c r="A7" s="74" t="s">
        <v>696</v>
      </c>
    </row>
    <row r="8">
      <c r="A8" s="5" t="s">
        <v>19</v>
      </c>
      <c r="B8" s="5" t="s">
        <v>22</v>
      </c>
      <c r="C8" s="5" t="s">
        <v>697</v>
      </c>
    </row>
    <row r="9" ht="69.75" customHeight="1">
      <c r="A9" s="70" t="s">
        <v>80</v>
      </c>
      <c r="B9" s="12" t="s">
        <v>81</v>
      </c>
      <c r="C9" s="12" t="s">
        <v>92</v>
      </c>
    </row>
    <row r="10" ht="69.75" customHeight="1">
      <c r="A10" s="71" t="s">
        <v>139</v>
      </c>
      <c r="B10" s="12" t="s">
        <v>140</v>
      </c>
      <c r="C10" s="12" t="s">
        <v>151</v>
      </c>
    </row>
    <row r="11" ht="69.75" customHeight="1">
      <c r="A11" s="71" t="s">
        <v>268</v>
      </c>
      <c r="B11" s="12" t="s">
        <v>271</v>
      </c>
      <c r="C11" s="12" t="s">
        <v>280</v>
      </c>
    </row>
    <row r="12" ht="69.75" customHeight="1">
      <c r="A12" s="70" t="s">
        <v>281</v>
      </c>
      <c r="B12" s="12" t="s">
        <v>282</v>
      </c>
      <c r="C12" s="12" t="s">
        <v>291</v>
      </c>
    </row>
    <row r="13" ht="69.75" customHeight="1">
      <c r="A13" s="71" t="s">
        <v>303</v>
      </c>
      <c r="B13" s="12" t="s">
        <v>304</v>
      </c>
      <c r="C13" s="12" t="s">
        <v>313</v>
      </c>
    </row>
    <row r="14" ht="69.75" customHeight="1">
      <c r="A14" s="70" t="s">
        <v>430</v>
      </c>
      <c r="B14" s="12" t="s">
        <v>431</v>
      </c>
      <c r="C14" s="13" t="s">
        <v>440</v>
      </c>
    </row>
    <row r="15" ht="69.75" customHeight="1">
      <c r="A15" s="70" t="s">
        <v>474</v>
      </c>
      <c r="B15" s="12" t="s">
        <v>477</v>
      </c>
      <c r="C15" s="12" t="s">
        <v>485</v>
      </c>
    </row>
    <row r="16" ht="69.75" customHeight="1">
      <c r="A16" s="70" t="s">
        <v>497</v>
      </c>
      <c r="B16" s="12" t="s">
        <v>498</v>
      </c>
      <c r="C16" s="12" t="s">
        <v>506</v>
      </c>
    </row>
    <row r="17" ht="69.75" customHeight="1">
      <c r="A17" s="71" t="s">
        <v>531</v>
      </c>
      <c r="B17" s="12" t="s">
        <v>532</v>
      </c>
      <c r="C17" s="12" t="s">
        <v>541</v>
      </c>
    </row>
    <row r="18" ht="69.75" customHeight="1">
      <c r="A18" s="71" t="s">
        <v>542</v>
      </c>
      <c r="B18" s="12" t="s">
        <v>543</v>
      </c>
      <c r="C18" s="12" t="s">
        <v>552</v>
      </c>
    </row>
    <row r="19" ht="69.75" customHeight="1">
      <c r="A19" s="71" t="s">
        <v>553</v>
      </c>
      <c r="B19" s="12" t="s">
        <v>554</v>
      </c>
      <c r="C19" s="12" t="s">
        <v>563</v>
      </c>
    </row>
    <row r="20" ht="69.75" customHeight="1">
      <c r="A20" s="70" t="s">
        <v>564</v>
      </c>
      <c r="B20" s="12" t="s">
        <v>565</v>
      </c>
      <c r="C20" s="12" t="s">
        <v>574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C7"/>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0"/>
  </cols>
  <sheetData>
    <row r="2">
      <c r="B2" s="75" t="s">
        <v>698</v>
      </c>
      <c r="C2" s="75" t="s">
        <v>699</v>
      </c>
    </row>
    <row r="3">
      <c r="B3" s="76" t="s">
        <v>700</v>
      </c>
      <c r="C3" s="77" t="s">
        <v>701</v>
      </c>
    </row>
    <row r="4">
      <c r="C4" s="77" t="s">
        <v>702</v>
      </c>
    </row>
    <row r="5">
      <c r="C5" s="77" t="s">
        <v>703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row>
    <row r="4">
      <c r="A4" s="84" t="s">
        <v>706</v>
      </c>
      <c r="B4" s="85" t="s">
        <v>22</v>
      </c>
      <c r="C4" s="86" t="str">
        <f t="array" ref="C4">IFERROR(INDEX('Use Case Library'!B:T,MATCH(C2,'Use Case Library'!B:B,0),4),"")</f>
        <v/>
      </c>
    </row>
    <row r="5">
      <c r="A5" s="81"/>
      <c r="B5" s="85" t="s">
        <v>20</v>
      </c>
      <c r="C5" s="86" t="str">
        <f t="array" ref="C5">IFERROR(INDEX('Use Case Library'!B:T,MATCH(C2,'Use Case Library'!B:B,0),2),"")</f>
        <v/>
      </c>
    </row>
    <row r="6">
      <c r="A6" s="81"/>
      <c r="B6" s="85" t="s">
        <v>21</v>
      </c>
      <c r="C6" s="86" t="str">
        <f t="array" ref="C6">IFERROR(INDEX('Use Case Library'!B:T,MATCH(C2,'Use Case Library'!B:B,0),3),"")</f>
        <v/>
      </c>
    </row>
    <row r="7">
      <c r="A7" s="81"/>
      <c r="B7" s="85" t="s">
        <v>30</v>
      </c>
      <c r="C7" s="86" t="str">
        <f t="array" ref="C7">IFERROR(INDEX('Use Case Library'!B:T,MATCH(C2,'Use Case Library'!B:B,0),12),"")</f>
        <v/>
      </c>
    </row>
    <row r="8">
      <c r="A8" s="81"/>
      <c r="B8" s="85" t="s">
        <v>18</v>
      </c>
      <c r="C8" s="86" t="str">
        <f t="array" ref="C8">IFERROR(INDEX('Use Case Library'!B:T,MATCH(C2,'Use Case Library'!B:B,0),13),"")</f>
        <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
      </c>
    </row>
    <row r="13">
      <c r="A13" s="81"/>
      <c r="B13" s="85" t="s">
        <v>24</v>
      </c>
      <c r="C13" s="86" t="str">
        <f t="array" ref="C13">IFERROR(INDEX('Use Case Library'!B:T,MATCH(C2,'Use Case Library'!B:B,0),6),"")</f>
        <v/>
      </c>
    </row>
    <row r="14">
      <c r="A14" s="81"/>
      <c r="B14" s="85" t="s">
        <v>25</v>
      </c>
      <c r="C14" s="86" t="str">
        <f t="array" ref="C14">IFERROR(INDEX('Use Case Library'!B:T,MATCH(C2,'Use Case Library'!B:B,0),7),"")</f>
        <v/>
      </c>
    </row>
    <row r="15">
      <c r="A15" s="81"/>
      <c r="B15" s="85" t="s">
        <v>26</v>
      </c>
      <c r="C15" s="86" t="str">
        <f t="array" ref="C15">IFERROR(INDEX('Use Case Library'!B:T,MATCH(C2,'Use Case Library'!B:B,0),8),"")</f>
        <v/>
      </c>
    </row>
    <row r="16">
      <c r="A16" s="81"/>
      <c r="B16" s="85" t="s">
        <v>27</v>
      </c>
      <c r="C16" s="86" t="str">
        <f t="array" ref="C16">IFERROR(INDEX('Use Case Library'!B:T,MATCH(C2,'Use Case Library'!B:B,0),9),"")</f>
        <v/>
      </c>
    </row>
    <row r="17">
      <c r="A17" s="81"/>
      <c r="B17" s="85" t="s">
        <v>28</v>
      </c>
      <c r="C17" s="86" t="str">
        <f t="array" ref="C17">IFERROR(INDEX('Use Case Library'!B:T,MATCH(C2,'Use Case Library'!B:B,0),10),"")</f>
        <v/>
      </c>
    </row>
    <row r="18">
      <c r="A18" s="81"/>
      <c r="B18" s="85" t="s">
        <v>709</v>
      </c>
      <c r="C18" s="86" t="str">
        <f t="array" ref="C18">IFERROR(INDEX('Use Case Library'!B:T,MATCH(C2,'Use Case Library'!B:B,0),11),"")</f>
        <v/>
      </c>
    </row>
    <row r="19">
      <c r="A19" s="81"/>
      <c r="B19" s="85" t="s">
        <v>33</v>
      </c>
      <c r="C19" s="86" t="str">
        <f t="array" ref="C19">IFERROR(INDEX('Use Case Library'!B:T,MATCH(C2,'Use Case Library'!B:B,0),15),"")</f>
        <v/>
      </c>
    </row>
    <row r="20">
      <c r="A20" s="81"/>
      <c r="B20" s="85" t="s">
        <v>710</v>
      </c>
      <c r="C20" s="86" t="str">
        <f t="array" ref="C20">IFERROR(INDEX('Use Case Library'!B:T,MATCH(C2,'Use Case Library'!B:B,0),14),"")</f>
        <v/>
      </c>
    </row>
    <row r="21">
      <c r="A21" s="81"/>
      <c r="B21" s="85" t="s">
        <v>36</v>
      </c>
      <c r="C21" s="86" t="str">
        <f t="array" ref="C21">IFERROR(INDEX('Use Case Library'!B:T,MATCH(C2,'Use Case Library'!B:B,0),17),"")</f>
        <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86"/>
    <col customWidth="1" min="2" max="2" width="30.0"/>
    <col customWidth="1" min="3" max="3" width="75.0"/>
    <col customWidth="1" min="4" max="4" width="8.71"/>
    <col customWidth="1" min="5" max="5" width="60.29"/>
    <col customWidth="1" min="6" max="6" width="14.57"/>
    <col customWidth="1" min="7" max="7" width="25.29"/>
    <col customWidth="1" min="8" max="26" width="8.71"/>
  </cols>
  <sheetData>
    <row r="1" ht="31.5" customHeight="1">
      <c r="A1" s="78" t="s">
        <v>704</v>
      </c>
      <c r="B1" s="79"/>
      <c r="C1" s="80"/>
      <c r="E1" s="90"/>
      <c r="G1" s="91"/>
    </row>
    <row r="2" ht="36.0" customHeight="1">
      <c r="A2" s="81"/>
      <c r="B2" s="82" t="s">
        <v>705</v>
      </c>
      <c r="C2" s="83" t="s">
        <v>67</v>
      </c>
      <c r="E2" s="90"/>
      <c r="G2" s="91"/>
    </row>
    <row r="3">
      <c r="E3" s="90"/>
      <c r="G3" s="91"/>
    </row>
    <row r="4">
      <c r="A4" s="84" t="s">
        <v>706</v>
      </c>
      <c r="B4" s="85" t="s">
        <v>22</v>
      </c>
      <c r="C4" s="86" t="str">
        <f t="array" ref="C4">IFERROR(INDEX('Use Case Library'!B:T,MATCH(C2,'Use Case Library'!B:B,0),4),"")</f>
        <v>Weapon Left Unattended Detection</v>
      </c>
      <c r="E4" s="90"/>
      <c r="G4" s="91"/>
    </row>
    <row r="5">
      <c r="A5" s="81"/>
      <c r="B5" s="85" t="s">
        <v>20</v>
      </c>
      <c r="C5" s="86" t="str">
        <f t="array" ref="C5">IFERROR(INDEX('Use Case Library'!B:T,MATCH(C2,'Use Case Library'!B:B,0),2),"")</f>
        <v>A</v>
      </c>
      <c r="E5" s="90"/>
      <c r="G5" s="91"/>
    </row>
    <row r="6">
      <c r="A6" s="81"/>
      <c r="B6" s="85" t="s">
        <v>21</v>
      </c>
      <c r="C6" s="86" t="str">
        <f t="array" ref="C6">IFERROR(INDEX('Use Case Library'!B:T,MATCH(C2,'Use Case Library'!B:B,0),3),"")</f>
        <v>Core Safety</v>
      </c>
      <c r="E6" s="92" t="s">
        <v>757</v>
      </c>
      <c r="F6" s="93"/>
      <c r="G6" s="91"/>
    </row>
    <row r="7">
      <c r="A7" s="81"/>
      <c r="B7" s="85" t="s">
        <v>30</v>
      </c>
      <c r="C7" s="86" t="str">
        <f t="array" ref="C7">IFERROR(INDEX('Use Case Library'!B:T,MATCH(C2,'Use Case Library'!B:B,0),12),"")</f>
        <v>P1 - High</v>
      </c>
      <c r="E7" s="90"/>
      <c r="F7" s="94" t="s">
        <v>758</v>
      </c>
      <c r="G7" s="91"/>
    </row>
    <row r="8">
      <c r="A8" s="81"/>
      <c r="B8" s="85" t="s">
        <v>18</v>
      </c>
      <c r="C8" s="86" t="str">
        <f t="array" ref="C8">IFERROR(INDEX('Use Case Library'!B:T,MATCH(C2,'Use Case Library'!B:B,0),13),"")</f>
        <v>Not Started</v>
      </c>
      <c r="E8" s="90"/>
      <c r="F8" s="94" t="s">
        <v>759</v>
      </c>
      <c r="G8" s="95" t="s">
        <v>760</v>
      </c>
    </row>
    <row r="9">
      <c r="A9" s="81"/>
      <c r="B9" s="85" t="s">
        <v>35</v>
      </c>
      <c r="C9" s="86" t="str">
        <f t="array" ref="C9">IFERROR(INDEX('Use Case Library'!B:T,MATCH(C2,'Use Case Library'!B:B,0),16),"")</f>
        <v/>
      </c>
      <c r="E9" s="90"/>
      <c r="F9" s="93"/>
      <c r="G9" s="91"/>
    </row>
    <row r="10">
      <c r="A10" s="81"/>
      <c r="B10" s="85" t="s">
        <v>707</v>
      </c>
      <c r="C10" s="96">
        <v>46133.0</v>
      </c>
      <c r="E10" s="92" t="s">
        <v>761</v>
      </c>
      <c r="F10" s="93"/>
      <c r="G10" s="91"/>
    </row>
    <row r="11">
      <c r="A11" s="87" t="s">
        <v>762</v>
      </c>
      <c r="B11" s="79"/>
      <c r="C11" s="80"/>
      <c r="E11" s="90"/>
      <c r="F11" s="94" t="s">
        <v>759</v>
      </c>
      <c r="G11" s="95" t="s">
        <v>763</v>
      </c>
    </row>
    <row r="12">
      <c r="A12" s="81"/>
      <c r="B12" s="85" t="s">
        <v>23</v>
      </c>
      <c r="C12" s="86" t="str">
        <f t="array" ref="C12">IFERROR(INDEX('Use Case Library'!B:T,MATCH(C2,'Use Case Library'!B:B,0),5),"")</f>
        <v>Detects a weapon stationary and not associated with any person in proximity - on ground, bench, or firing point with no one nearby - beyond a defined time threshold.</v>
      </c>
      <c r="E12" s="90"/>
      <c r="F12" s="94" t="s">
        <v>764</v>
      </c>
      <c r="G12" s="91"/>
    </row>
    <row r="13">
      <c r="A13" s="81"/>
      <c r="B13" s="85" t="s">
        <v>24</v>
      </c>
      <c r="C13" s="86" t="str">
        <f t="array" ref="C13">IFERROR(INDEX('Use Case Library'!B:T,MATCH(C2,'Use Case Library'!B:B,0),6),"")</f>
        <v>No weapon should ever be left unsecured and unattended on a range.</v>
      </c>
      <c r="E13" s="90"/>
      <c r="G13" s="91"/>
    </row>
    <row r="14">
      <c r="A14" s="81"/>
      <c r="B14" s="85" t="s">
        <v>25</v>
      </c>
      <c r="C14" s="86" t="str">
        <f t="array" ref="C14">IFERROR(INDEX('Use Case Library'!B:T,MATCH(C2,'Use Case Library'!B:B,0),7),"")</f>
        <v>Weapon-shaped object detection + human proximity check within defined radius + time-based trigger (e.g., 30s with no person within 2m).
Focus on both day and night modes.</v>
      </c>
      <c r="E14" s="90"/>
      <c r="G14" s="91"/>
    </row>
    <row r="15">
      <c r="A15" s="81"/>
      <c r="B15" s="85" t="s">
        <v>26</v>
      </c>
      <c r="C15" s="86" t="str">
        <f t="array" ref="C15">IFERROR(INDEX('Use Case Library'!B:T,MATCH(C2,'Use Case Library'!B:B,0),8),"")</f>
        <v>1) Time weapon is unattended before detection
2) Distance to nearest person when flagged
3) Location context (firing point vs walkway vs rest area)
4) False positive rate (training props, weapon racks)</v>
      </c>
      <c r="E15" s="90"/>
      <c r="G15" s="91"/>
    </row>
    <row r="16">
      <c r="A16" s="81"/>
      <c r="B16" s="85" t="s">
        <v>27</v>
      </c>
      <c r="C16" s="86" t="str">
        <f t="array" ref="C16">IFERROR(INDEX('Use Case Library'!B:T,MATCH(C2,'Use Case Library'!B:B,0),9),"")</f>
        <v>Alert to nearest safety officer with weapon location, camera feed, and duration unattended.
By default: If no external system integration is needed, it will then route the notification and alert to Accel.</v>
      </c>
      <c r="E16" s="90"/>
      <c r="G16" s="91"/>
    </row>
    <row r="17">
      <c r="A17" s="81"/>
      <c r="B17" s="85" t="s">
        <v>28</v>
      </c>
      <c r="C17" s="86" t="str">
        <f t="array" ref="C17">IFERROR(INDEX('Use Case Library'!B:T,MATCH(C2,'Use Case Library'!B:B,0),10),"")</f>
        <v>Discovered during physical checks or when someone reports a found weapon.</v>
      </c>
      <c r="E17" s="90"/>
      <c r="G17" s="91"/>
    </row>
    <row r="18">
      <c r="A18" s="81"/>
      <c r="B18" s="85" t="s">
        <v>709</v>
      </c>
      <c r="C18" s="86" t="str">
        <f t="array" ref="C18">IFERROR(INDEX('Use Case Library'!B:T,MATCH(C2,'Use Case Library'!B:B,0),11),"")</f>
        <v>- Weapons deliberately placed in racks (authorised)
- Training props / dummy weapons
- Weapon placed down momentarily during drill change
- Partial occlusion (under bench, behind bag)</v>
      </c>
      <c r="E18" s="90"/>
      <c r="G18" s="91"/>
    </row>
    <row r="19">
      <c r="A19" s="81"/>
      <c r="B19" s="85" t="s">
        <v>33</v>
      </c>
      <c r="C19" s="86" t="str">
        <f t="array" ref="C19">IFERROR(INDEX('Use Case Library'!B:T,MATCH(C2,'Use Case Library'!B:B,0),15),"")</f>
        <v>UC-008</v>
      </c>
      <c r="E19" s="90"/>
      <c r="G19" s="91"/>
    </row>
    <row r="20">
      <c r="A20" s="81"/>
      <c r="B20" s="85" t="s">
        <v>710</v>
      </c>
      <c r="C20" s="86" t="str">
        <f t="array" ref="C20">IFERROR(INDEX('Use Case Library'!B:T,MATCH(C2,'Use Case Library'!B:B,0),14),"")</f>
        <v>Weapon Left Unattended
IF weapon detected with no person within 2m radius for &gt; 30s → ALERT to nearest safety officer. 
IF weapon is in designated rack/storage zone → suppress (authorised placement). 
IF weapon unattended &gt; 120s anywhere → escalate to URGENT. 
Reset timer when any person enters 2m radius.</v>
      </c>
      <c r="E20" s="90"/>
      <c r="G20" s="91"/>
    </row>
    <row r="21">
      <c r="A21" s="81"/>
      <c r="B21" s="85" t="s">
        <v>36</v>
      </c>
      <c r="C21" s="86" t="str">
        <f t="array" ref="C21">IFERROR(INDEX('Use Case Library'!B:T,MATCH(C2,'Use Case Library'!B:B,0),17),"")</f>
        <v>Visual Only</v>
      </c>
      <c r="E21" s="90"/>
      <c r="G21" s="91"/>
    </row>
    <row r="22" ht="15.75" customHeight="1">
      <c r="A22" s="97" t="s">
        <v>765</v>
      </c>
      <c r="B22" s="97"/>
      <c r="C22" s="97"/>
      <c r="E22" s="90"/>
      <c r="G22" s="91"/>
    </row>
    <row r="23">
      <c r="A23" s="81"/>
      <c r="B23" s="89" t="s">
        <v>766</v>
      </c>
      <c r="C23" s="98" t="s">
        <v>767</v>
      </c>
      <c r="E23" s="90"/>
      <c r="G23" s="91"/>
    </row>
    <row r="24">
      <c r="A24" s="81"/>
      <c r="B24" s="89"/>
      <c r="C24" s="13"/>
      <c r="E24" s="90"/>
      <c r="G24" s="91"/>
    </row>
    <row r="25">
      <c r="A25" s="87" t="s">
        <v>711</v>
      </c>
      <c r="B25" s="79"/>
      <c r="C25" s="80"/>
      <c r="E25" s="90"/>
      <c r="G25" s="91"/>
    </row>
    <row r="26">
      <c r="A26" s="81"/>
      <c r="B26" s="85" t="s">
        <v>712</v>
      </c>
      <c r="C26" s="13" t="s">
        <v>768</v>
      </c>
      <c r="E26" s="92" t="s">
        <v>769</v>
      </c>
      <c r="F26" s="93"/>
      <c r="G26" s="91"/>
    </row>
    <row r="27">
      <c r="A27" s="81"/>
      <c r="B27" s="85" t="s">
        <v>714</v>
      </c>
      <c r="C27" s="13" t="s">
        <v>770</v>
      </c>
      <c r="E27" s="90"/>
      <c r="G27" s="91"/>
    </row>
    <row r="28">
      <c r="A28" s="81"/>
      <c r="B28" s="85" t="s">
        <v>716</v>
      </c>
      <c r="C28" s="13" t="s">
        <v>771</v>
      </c>
      <c r="E28" s="90"/>
      <c r="G28" s="91"/>
    </row>
    <row r="29">
      <c r="A29" s="81"/>
      <c r="B29" s="85" t="s">
        <v>718</v>
      </c>
      <c r="C29" s="13" t="s">
        <v>772</v>
      </c>
      <c r="E29" s="90"/>
      <c r="G29" s="91"/>
    </row>
    <row r="30">
      <c r="A30" s="81"/>
      <c r="B30" s="85" t="s">
        <v>720</v>
      </c>
      <c r="C30" s="13" t="s">
        <v>773</v>
      </c>
      <c r="E30" s="90"/>
      <c r="G30" s="91"/>
    </row>
    <row r="31">
      <c r="A31" s="81"/>
      <c r="B31" s="85" t="s">
        <v>722</v>
      </c>
      <c r="C31" s="13" t="s">
        <v>774</v>
      </c>
      <c r="E31" s="90"/>
      <c r="G31" s="91"/>
    </row>
    <row r="32">
      <c r="A32" s="81"/>
      <c r="B32" s="85" t="s">
        <v>724</v>
      </c>
      <c r="C32" s="13" t="s">
        <v>775</v>
      </c>
      <c r="E32" s="90"/>
      <c r="G32" s="91"/>
    </row>
    <row r="33">
      <c r="A33" s="84" t="s">
        <v>726</v>
      </c>
      <c r="B33" s="84"/>
      <c r="C33" s="84"/>
      <c r="E33" s="90"/>
      <c r="G33" s="91"/>
    </row>
    <row r="34">
      <c r="B34" s="85" t="s">
        <v>727</v>
      </c>
      <c r="C34" s="13" t="s">
        <v>776</v>
      </c>
      <c r="E34" s="92" t="s">
        <v>777</v>
      </c>
      <c r="G34" s="91"/>
    </row>
    <row r="35">
      <c r="A35" s="81"/>
      <c r="B35" s="85" t="s">
        <v>729</v>
      </c>
      <c r="C35" s="13" t="s">
        <v>778</v>
      </c>
      <c r="E35" s="90"/>
      <c r="G35" s="91"/>
    </row>
    <row r="36">
      <c r="A36" s="81"/>
      <c r="B36" s="85" t="s">
        <v>731</v>
      </c>
      <c r="C36" s="13" t="s">
        <v>779</v>
      </c>
      <c r="E36" s="91"/>
      <c r="G36" s="91"/>
    </row>
    <row r="37">
      <c r="A37" s="84" t="s">
        <v>733</v>
      </c>
      <c r="B37" s="84"/>
      <c r="C37" s="84"/>
      <c r="E37" s="95" t="s">
        <v>780</v>
      </c>
      <c r="G37" s="91"/>
    </row>
    <row r="38">
      <c r="B38" s="85" t="s">
        <v>734</v>
      </c>
      <c r="C38" s="13" t="s">
        <v>781</v>
      </c>
      <c r="E38" s="91"/>
      <c r="G38" s="91"/>
    </row>
    <row r="39">
      <c r="A39" s="81"/>
      <c r="B39" s="85" t="s">
        <v>735</v>
      </c>
      <c r="C39" s="13" t="s">
        <v>782</v>
      </c>
      <c r="E39" s="91"/>
      <c r="G39" s="91"/>
    </row>
    <row r="40" ht="27.0" customHeight="1">
      <c r="A40" s="81"/>
      <c r="B40" s="85" t="s">
        <v>736</v>
      </c>
      <c r="C40" s="13" t="s">
        <v>783</v>
      </c>
      <c r="E40" s="91"/>
      <c r="G40" s="91"/>
    </row>
    <row r="41">
      <c r="A41" s="81"/>
      <c r="B41" s="85" t="s">
        <v>735</v>
      </c>
      <c r="C41" s="13" t="s">
        <v>784</v>
      </c>
      <c r="E41" s="91"/>
      <c r="G41" s="91"/>
    </row>
    <row r="42">
      <c r="A42" s="81"/>
      <c r="B42" s="85" t="s">
        <v>737</v>
      </c>
      <c r="C42" s="13" t="s">
        <v>785</v>
      </c>
      <c r="E42" s="91"/>
      <c r="G42" s="91"/>
    </row>
    <row r="43">
      <c r="A43" s="81"/>
      <c r="B43" s="85" t="s">
        <v>735</v>
      </c>
      <c r="C43" s="13" t="s">
        <v>786</v>
      </c>
      <c r="E43" s="91"/>
      <c r="G43" s="91"/>
    </row>
    <row r="44">
      <c r="A44" s="81"/>
      <c r="B44" s="85" t="s">
        <v>738</v>
      </c>
      <c r="C44" s="13" t="s">
        <v>787</v>
      </c>
      <c r="E44" s="91"/>
      <c r="G44" s="91"/>
    </row>
    <row r="45">
      <c r="A45" s="81"/>
      <c r="B45" s="85" t="s">
        <v>735</v>
      </c>
      <c r="C45" s="13" t="s">
        <v>788</v>
      </c>
      <c r="E45" s="90"/>
      <c r="F45" s="93"/>
      <c r="G45" s="91"/>
    </row>
    <row r="46" ht="27.75" customHeight="1">
      <c r="A46" s="97" t="s">
        <v>789</v>
      </c>
      <c r="B46" s="84"/>
      <c r="C46" s="84"/>
      <c r="E46" s="92"/>
      <c r="F46" s="93"/>
      <c r="G46" s="91"/>
    </row>
    <row r="47">
      <c r="B47" s="99" t="s">
        <v>790</v>
      </c>
      <c r="C47" s="100" t="s">
        <v>791</v>
      </c>
      <c r="D47" s="93"/>
      <c r="E47" s="92" t="s">
        <v>792</v>
      </c>
      <c r="F47" s="93"/>
      <c r="G47" s="91"/>
    </row>
    <row r="48">
      <c r="B48" s="99" t="s">
        <v>793</v>
      </c>
      <c r="C48" s="100" t="s">
        <v>794</v>
      </c>
      <c r="D48" s="93"/>
      <c r="E48" s="92" t="s">
        <v>795</v>
      </c>
      <c r="F48" s="93"/>
      <c r="G48" s="91"/>
    </row>
    <row r="49" ht="27.75" customHeight="1">
      <c r="A49" s="88" t="s">
        <v>739</v>
      </c>
      <c r="B49" s="79"/>
      <c r="C49" s="80"/>
      <c r="D49" s="93"/>
      <c r="E49" s="92" t="s">
        <v>796</v>
      </c>
      <c r="F49" s="93"/>
      <c r="G49" s="91"/>
    </row>
    <row r="50">
      <c r="A50" s="101"/>
      <c r="B50" s="102" t="s">
        <v>740</v>
      </c>
      <c r="C50" s="100" t="s">
        <v>797</v>
      </c>
      <c r="D50" s="93"/>
      <c r="E50" s="90"/>
      <c r="F50" s="93"/>
      <c r="G50" s="91"/>
    </row>
    <row r="51">
      <c r="A51" s="81"/>
      <c r="B51" s="85" t="s">
        <v>741</v>
      </c>
      <c r="C51" s="13" t="s">
        <v>798</v>
      </c>
      <c r="E51" s="91"/>
      <c r="G51" s="91"/>
    </row>
    <row r="52">
      <c r="A52" s="81"/>
      <c r="B52" s="85" t="s">
        <v>742</v>
      </c>
      <c r="C52" s="13" t="s">
        <v>799</v>
      </c>
      <c r="E52" s="91"/>
      <c r="G52" s="91"/>
    </row>
    <row r="53">
      <c r="A53" s="81"/>
      <c r="B53" s="89" t="s">
        <v>743</v>
      </c>
      <c r="C53" s="13" t="s">
        <v>800</v>
      </c>
      <c r="E53" s="91"/>
      <c r="G53" s="91"/>
    </row>
    <row r="54">
      <c r="A54" s="81"/>
      <c r="B54" s="85" t="s">
        <v>741</v>
      </c>
      <c r="C54" s="13" t="s">
        <v>801</v>
      </c>
      <c r="E54" s="91"/>
      <c r="G54" s="91"/>
    </row>
    <row r="55" ht="72.0" customHeight="1">
      <c r="A55" s="81"/>
      <c r="B55" s="85" t="s">
        <v>742</v>
      </c>
      <c r="C55" s="13" t="s">
        <v>802</v>
      </c>
      <c r="E55" s="91"/>
      <c r="G55" s="91"/>
    </row>
    <row r="56">
      <c r="A56" s="81"/>
      <c r="B56" s="89" t="s">
        <v>744</v>
      </c>
      <c r="C56" s="13" t="s">
        <v>803</v>
      </c>
      <c r="E56" s="91"/>
      <c r="G56" s="91"/>
    </row>
    <row r="57">
      <c r="A57" s="81"/>
      <c r="B57" s="85" t="s">
        <v>741</v>
      </c>
      <c r="C57" s="13" t="s">
        <v>804</v>
      </c>
      <c r="E57" s="91"/>
      <c r="G57" s="91"/>
    </row>
    <row r="58">
      <c r="A58" s="81"/>
      <c r="B58" s="85" t="s">
        <v>742</v>
      </c>
      <c r="C58" s="13" t="s">
        <v>805</v>
      </c>
      <c r="E58" s="91"/>
      <c r="G58" s="91"/>
    </row>
    <row r="59">
      <c r="A59" s="88" t="s">
        <v>745</v>
      </c>
      <c r="B59" s="79"/>
      <c r="C59" s="80"/>
      <c r="E59" s="91"/>
      <c r="G59" s="91"/>
    </row>
    <row r="60" ht="30.0" customHeight="1">
      <c r="B60" s="85" t="s">
        <v>746</v>
      </c>
      <c r="C60" s="13" t="s">
        <v>806</v>
      </c>
      <c r="E60" s="91"/>
      <c r="G60" s="91"/>
    </row>
    <row r="61">
      <c r="A61" s="81"/>
      <c r="B61" s="85" t="s">
        <v>747</v>
      </c>
      <c r="C61" s="13" t="s">
        <v>806</v>
      </c>
      <c r="E61" s="91"/>
      <c r="G61" s="91"/>
    </row>
    <row r="62">
      <c r="A62" s="81"/>
      <c r="B62" s="85" t="s">
        <v>748</v>
      </c>
      <c r="C62" s="13" t="s">
        <v>807</v>
      </c>
      <c r="E62" s="91"/>
      <c r="G62" s="91"/>
    </row>
    <row r="63">
      <c r="A63" s="81"/>
      <c r="B63" s="85" t="s">
        <v>749</v>
      </c>
      <c r="C63" s="96">
        <v>46133.0</v>
      </c>
      <c r="E63" s="91"/>
      <c r="G63" s="91"/>
    </row>
    <row r="64">
      <c r="A64" s="81"/>
      <c r="B64" s="85" t="s">
        <v>750</v>
      </c>
      <c r="C64" s="12" t="s">
        <v>751</v>
      </c>
      <c r="E64" s="91"/>
      <c r="G64" s="91"/>
    </row>
    <row r="65">
      <c r="A65" s="88" t="s">
        <v>752</v>
      </c>
      <c r="B65" s="79"/>
      <c r="C65" s="80"/>
      <c r="E65" s="91"/>
      <c r="G65" s="91"/>
    </row>
    <row r="66">
      <c r="B66" s="85" t="s">
        <v>753</v>
      </c>
      <c r="C66" s="13" t="s">
        <v>808</v>
      </c>
      <c r="E66" s="91"/>
      <c r="G66" s="91"/>
    </row>
    <row r="67">
      <c r="A67" s="81"/>
      <c r="B67" s="85" t="s">
        <v>754</v>
      </c>
      <c r="C67" s="13" t="s">
        <v>809</v>
      </c>
      <c r="E67" s="91"/>
      <c r="G67" s="91"/>
    </row>
    <row r="68">
      <c r="A68" s="81"/>
      <c r="B68" s="85" t="s">
        <v>755</v>
      </c>
      <c r="C68" s="13" t="s">
        <v>810</v>
      </c>
      <c r="E68" s="91"/>
      <c r="G68" s="91"/>
    </row>
    <row r="69">
      <c r="A69" s="81"/>
      <c r="B69" s="85" t="s">
        <v>756</v>
      </c>
      <c r="C69" s="13" t="s">
        <v>811</v>
      </c>
      <c r="E69" s="91"/>
      <c r="G69" s="91"/>
    </row>
    <row r="70" ht="15.75" customHeight="1">
      <c r="E70" s="91"/>
      <c r="G70" s="91"/>
    </row>
    <row r="71" ht="15.75" customHeight="1">
      <c r="E71" s="91"/>
      <c r="G71" s="91"/>
    </row>
    <row r="72" ht="15.75" customHeight="1">
      <c r="E72" s="91"/>
      <c r="G72" s="91"/>
    </row>
    <row r="73" ht="15.75" customHeight="1">
      <c r="E73" s="91"/>
      <c r="G73" s="91"/>
    </row>
    <row r="74" ht="15.75" customHeight="1">
      <c r="E74" s="91"/>
      <c r="G74" s="91"/>
    </row>
    <row r="75" ht="15.75" customHeight="1">
      <c r="E75" s="91"/>
      <c r="G75" s="91"/>
    </row>
    <row r="76" ht="15.75" customHeight="1">
      <c r="E76" s="91"/>
      <c r="G76" s="91"/>
    </row>
    <row r="77" ht="15.75" customHeight="1">
      <c r="E77" s="91"/>
      <c r="G77" s="91"/>
    </row>
    <row r="78" ht="15.75" customHeight="1">
      <c r="E78" s="91"/>
      <c r="G78" s="91"/>
    </row>
    <row r="79" ht="15.75" customHeight="1">
      <c r="E79" s="91"/>
      <c r="G79" s="91"/>
    </row>
    <row r="80" ht="15.75" customHeight="1">
      <c r="E80" s="91"/>
      <c r="G80" s="91"/>
    </row>
    <row r="81" ht="15.75" customHeight="1">
      <c r="E81" s="91"/>
      <c r="G81" s="91"/>
    </row>
    <row r="82" ht="15.75" customHeight="1">
      <c r="E82" s="91"/>
      <c r="G82" s="91"/>
    </row>
    <row r="83" ht="15.75" customHeight="1">
      <c r="E83" s="91"/>
      <c r="G83" s="91"/>
    </row>
    <row r="84" ht="15.75" customHeight="1">
      <c r="E84" s="91"/>
      <c r="G84" s="91"/>
    </row>
    <row r="85" ht="15.75" customHeight="1">
      <c r="E85" s="91"/>
      <c r="G85" s="91"/>
    </row>
    <row r="86" ht="15.75" customHeight="1">
      <c r="E86" s="91"/>
      <c r="G86" s="91"/>
    </row>
    <row r="87" ht="15.75" customHeight="1">
      <c r="E87" s="91"/>
      <c r="G87" s="91"/>
    </row>
    <row r="88" ht="15.75" customHeight="1">
      <c r="E88" s="91"/>
      <c r="G88" s="91"/>
    </row>
    <row r="89" ht="15.75" customHeight="1">
      <c r="E89" s="91"/>
      <c r="G89" s="91"/>
    </row>
    <row r="90" ht="15.75" customHeight="1">
      <c r="E90" s="91"/>
      <c r="G90" s="91"/>
    </row>
    <row r="91" ht="15.75" customHeight="1">
      <c r="E91" s="91"/>
      <c r="G91" s="91"/>
    </row>
    <row r="92" ht="15.75" customHeight="1">
      <c r="E92" s="91"/>
      <c r="G92" s="91"/>
    </row>
    <row r="93" ht="15.75" customHeight="1">
      <c r="E93" s="91"/>
      <c r="G93" s="91"/>
    </row>
    <row r="94" ht="15.75" customHeight="1">
      <c r="E94" s="91"/>
      <c r="G94" s="91"/>
    </row>
    <row r="95" ht="15.75" customHeight="1">
      <c r="E95" s="91"/>
      <c r="G95" s="91"/>
    </row>
    <row r="96" ht="15.75" customHeight="1">
      <c r="E96" s="91"/>
      <c r="G96" s="91"/>
    </row>
    <row r="97" ht="15.75" customHeight="1">
      <c r="E97" s="91"/>
      <c r="G97" s="91"/>
    </row>
    <row r="98" ht="15.75" customHeight="1">
      <c r="E98" s="91"/>
      <c r="G98" s="91"/>
    </row>
    <row r="99" ht="15.75" customHeight="1">
      <c r="E99" s="91"/>
      <c r="G99" s="91"/>
    </row>
    <row r="100" ht="15.75" customHeight="1">
      <c r="E100" s="91"/>
      <c r="G100" s="91"/>
    </row>
    <row r="101" ht="15.75" customHeight="1">
      <c r="E101" s="91"/>
      <c r="G101" s="91"/>
    </row>
    <row r="102" ht="15.75" customHeight="1">
      <c r="E102" s="91"/>
      <c r="G102" s="91"/>
    </row>
    <row r="103" ht="15.75" customHeight="1">
      <c r="E103" s="91"/>
      <c r="G103" s="91"/>
    </row>
    <row r="104" ht="15.75" customHeight="1">
      <c r="E104" s="91"/>
      <c r="G104" s="91"/>
    </row>
    <row r="105" ht="15.75" customHeight="1">
      <c r="E105" s="91"/>
      <c r="G105" s="91"/>
    </row>
    <row r="106" ht="15.75" customHeight="1">
      <c r="E106" s="91"/>
      <c r="G106" s="91"/>
    </row>
    <row r="107" ht="15.75" customHeight="1">
      <c r="E107" s="91"/>
      <c r="G107" s="91"/>
    </row>
    <row r="108" ht="15.75" customHeight="1">
      <c r="E108" s="91"/>
      <c r="G108" s="91"/>
    </row>
    <row r="109" ht="15.75" customHeight="1">
      <c r="E109" s="91"/>
      <c r="G109" s="91"/>
    </row>
    <row r="110" ht="15.75" customHeight="1">
      <c r="E110" s="91"/>
      <c r="G110" s="91"/>
    </row>
    <row r="111" ht="15.75" customHeight="1">
      <c r="E111" s="91"/>
      <c r="G111" s="91"/>
    </row>
    <row r="112" ht="15.75" customHeight="1">
      <c r="E112" s="91"/>
      <c r="G112" s="91"/>
    </row>
    <row r="113" ht="15.75" customHeight="1">
      <c r="E113" s="91"/>
      <c r="G113" s="91"/>
    </row>
    <row r="114" ht="15.75" customHeight="1">
      <c r="E114" s="91"/>
      <c r="G114" s="91"/>
    </row>
    <row r="115" ht="15.75" customHeight="1">
      <c r="E115" s="91"/>
      <c r="G115" s="91"/>
    </row>
    <row r="116" ht="15.75" customHeight="1">
      <c r="E116" s="91"/>
      <c r="G116" s="91"/>
    </row>
    <row r="117" ht="15.75" customHeight="1">
      <c r="E117" s="91"/>
      <c r="G117" s="91"/>
    </row>
    <row r="118" ht="15.75" customHeight="1">
      <c r="E118" s="91"/>
      <c r="G118" s="91"/>
    </row>
    <row r="119" ht="15.75" customHeight="1">
      <c r="E119" s="91"/>
      <c r="G119" s="91"/>
    </row>
    <row r="120" ht="15.75" customHeight="1">
      <c r="E120" s="91"/>
      <c r="G120" s="91"/>
    </row>
    <row r="121" ht="15.75" customHeight="1">
      <c r="E121" s="91"/>
      <c r="G121" s="91"/>
    </row>
    <row r="122" ht="15.75" customHeight="1">
      <c r="E122" s="91"/>
      <c r="G122" s="91"/>
    </row>
    <row r="123" ht="15.75" customHeight="1">
      <c r="E123" s="91"/>
      <c r="G123" s="91"/>
    </row>
    <row r="124" ht="15.75" customHeight="1">
      <c r="E124" s="91"/>
      <c r="G124" s="91"/>
    </row>
    <row r="125" ht="15.75" customHeight="1">
      <c r="E125" s="91"/>
      <c r="G125" s="91"/>
    </row>
    <row r="126" ht="15.75" customHeight="1">
      <c r="E126" s="91"/>
      <c r="G126" s="91"/>
    </row>
    <row r="127" ht="15.75" customHeight="1">
      <c r="E127" s="91"/>
      <c r="G127" s="91"/>
    </row>
    <row r="128" ht="15.75" customHeight="1">
      <c r="E128" s="91"/>
      <c r="G128" s="91"/>
    </row>
    <row r="129" ht="15.75" customHeight="1">
      <c r="E129" s="91"/>
      <c r="G129" s="91"/>
    </row>
    <row r="130" ht="15.75" customHeight="1">
      <c r="E130" s="91"/>
      <c r="G130" s="91"/>
    </row>
    <row r="131" ht="15.75" customHeight="1">
      <c r="E131" s="91"/>
      <c r="G131" s="91"/>
    </row>
    <row r="132" ht="15.75" customHeight="1">
      <c r="E132" s="91"/>
      <c r="G132" s="91"/>
    </row>
    <row r="133" ht="15.75" customHeight="1">
      <c r="E133" s="91"/>
      <c r="G133" s="91"/>
    </row>
    <row r="134" ht="15.75" customHeight="1">
      <c r="E134" s="91"/>
      <c r="G134" s="91"/>
    </row>
    <row r="135" ht="15.75" customHeight="1">
      <c r="E135" s="91"/>
      <c r="G135" s="91"/>
    </row>
    <row r="136" ht="15.75" customHeight="1">
      <c r="E136" s="91"/>
      <c r="G136" s="91"/>
    </row>
    <row r="137" ht="15.75" customHeight="1">
      <c r="E137" s="91"/>
      <c r="G137" s="91"/>
    </row>
    <row r="138" ht="15.75" customHeight="1">
      <c r="E138" s="91"/>
      <c r="G138" s="91"/>
    </row>
    <row r="139" ht="15.75" customHeight="1">
      <c r="E139" s="91"/>
      <c r="G139" s="91"/>
    </row>
    <row r="140" ht="15.75" customHeight="1">
      <c r="E140" s="91"/>
      <c r="G140" s="91"/>
    </row>
    <row r="141" ht="15.75" customHeight="1">
      <c r="E141" s="91"/>
      <c r="G141" s="91"/>
    </row>
    <row r="142" ht="15.75" customHeight="1">
      <c r="E142" s="91"/>
      <c r="G142" s="91"/>
    </row>
    <row r="143" ht="15.75" customHeight="1">
      <c r="E143" s="91"/>
      <c r="G143" s="91"/>
    </row>
    <row r="144" ht="15.75" customHeight="1">
      <c r="E144" s="91"/>
      <c r="G144" s="91"/>
    </row>
    <row r="145" ht="15.75" customHeight="1">
      <c r="E145" s="91"/>
      <c r="G145" s="91"/>
    </row>
    <row r="146" ht="15.75" customHeight="1">
      <c r="E146" s="91"/>
      <c r="G146" s="91"/>
    </row>
    <row r="147" ht="15.75" customHeight="1">
      <c r="E147" s="91"/>
      <c r="G147" s="91"/>
    </row>
    <row r="148" ht="15.75" customHeight="1">
      <c r="E148" s="91"/>
      <c r="G148" s="91"/>
    </row>
    <row r="149" ht="15.75" customHeight="1">
      <c r="E149" s="91"/>
      <c r="G149" s="91"/>
    </row>
    <row r="150" ht="15.75" customHeight="1">
      <c r="E150" s="91"/>
      <c r="G150" s="91"/>
    </row>
    <row r="151" ht="15.75" customHeight="1">
      <c r="E151" s="91"/>
      <c r="G151" s="91"/>
    </row>
    <row r="152" ht="15.75" customHeight="1">
      <c r="E152" s="91"/>
      <c r="G152" s="91"/>
    </row>
    <row r="153" ht="15.75" customHeight="1">
      <c r="E153" s="91"/>
      <c r="G153" s="91"/>
    </row>
    <row r="154" ht="15.75" customHeight="1">
      <c r="E154" s="91"/>
      <c r="G154" s="91"/>
    </row>
    <row r="155" ht="15.75" customHeight="1">
      <c r="E155" s="91"/>
      <c r="G155" s="91"/>
    </row>
    <row r="156" ht="15.75" customHeight="1">
      <c r="E156" s="91"/>
      <c r="G156" s="91"/>
    </row>
    <row r="157" ht="15.75" customHeight="1">
      <c r="E157" s="91"/>
      <c r="G157" s="91"/>
    </row>
    <row r="158" ht="15.75" customHeight="1">
      <c r="E158" s="91"/>
      <c r="G158" s="91"/>
    </row>
    <row r="159" ht="15.75" customHeight="1">
      <c r="E159" s="91"/>
      <c r="G159" s="91"/>
    </row>
    <row r="160" ht="15.75" customHeight="1">
      <c r="E160" s="91"/>
      <c r="G160" s="91"/>
    </row>
    <row r="161" ht="15.75" customHeight="1">
      <c r="E161" s="91"/>
      <c r="G161" s="91"/>
    </row>
    <row r="162" ht="15.75" customHeight="1">
      <c r="E162" s="91"/>
      <c r="G162" s="91"/>
    </row>
    <row r="163" ht="15.75" customHeight="1">
      <c r="E163" s="91"/>
      <c r="G163" s="91"/>
    </row>
    <row r="164" ht="15.75" customHeight="1">
      <c r="E164" s="91"/>
      <c r="G164" s="91"/>
    </row>
    <row r="165" ht="15.75" customHeight="1">
      <c r="E165" s="91"/>
      <c r="G165" s="91"/>
    </row>
    <row r="166" ht="15.75" customHeight="1">
      <c r="E166" s="91"/>
      <c r="G166" s="91"/>
    </row>
    <row r="167" ht="15.75" customHeight="1">
      <c r="E167" s="91"/>
      <c r="G167" s="91"/>
    </row>
    <row r="168" ht="15.75" customHeight="1">
      <c r="E168" s="91"/>
      <c r="G168" s="91"/>
    </row>
    <row r="169" ht="15.75" customHeight="1">
      <c r="E169" s="91"/>
      <c r="G169" s="91"/>
    </row>
    <row r="170" ht="15.75" customHeight="1">
      <c r="E170" s="91"/>
      <c r="G170" s="91"/>
    </row>
    <row r="171" ht="15.75" customHeight="1">
      <c r="E171" s="91"/>
      <c r="G171" s="91"/>
    </row>
    <row r="172" ht="15.75" customHeight="1">
      <c r="E172" s="91"/>
      <c r="G172" s="91"/>
    </row>
    <row r="173" ht="15.75" customHeight="1">
      <c r="E173" s="91"/>
      <c r="G173" s="91"/>
    </row>
    <row r="174" ht="15.75" customHeight="1">
      <c r="E174" s="91"/>
      <c r="G174" s="91"/>
    </row>
    <row r="175" ht="15.75" customHeight="1">
      <c r="E175" s="91"/>
      <c r="G175" s="91"/>
    </row>
    <row r="176" ht="15.75" customHeight="1">
      <c r="E176" s="91"/>
      <c r="G176" s="91"/>
    </row>
    <row r="177" ht="15.75" customHeight="1">
      <c r="E177" s="91"/>
      <c r="G177" s="91"/>
    </row>
    <row r="178" ht="15.75" customHeight="1">
      <c r="E178" s="91"/>
      <c r="G178" s="91"/>
    </row>
    <row r="179" ht="15.75" customHeight="1">
      <c r="E179" s="91"/>
      <c r="G179" s="91"/>
    </row>
    <row r="180" ht="15.75" customHeight="1">
      <c r="E180" s="91"/>
      <c r="G180" s="91"/>
    </row>
    <row r="181" ht="15.75" customHeight="1">
      <c r="E181" s="91"/>
      <c r="G181" s="91"/>
    </row>
    <row r="182" ht="15.75" customHeight="1">
      <c r="E182" s="91"/>
      <c r="G182" s="91"/>
    </row>
    <row r="183" ht="15.75" customHeight="1">
      <c r="E183" s="91"/>
      <c r="G183" s="91"/>
    </row>
    <row r="184" ht="15.75" customHeight="1">
      <c r="E184" s="91"/>
      <c r="G184" s="91"/>
    </row>
    <row r="185" ht="15.75" customHeight="1">
      <c r="E185" s="91"/>
      <c r="G185" s="91"/>
    </row>
    <row r="186" ht="15.75" customHeight="1">
      <c r="E186" s="91"/>
      <c r="G186" s="91"/>
    </row>
    <row r="187" ht="15.75" customHeight="1">
      <c r="E187" s="91"/>
      <c r="G187" s="91"/>
    </row>
    <row r="188" ht="15.75" customHeight="1">
      <c r="E188" s="91"/>
      <c r="G188" s="91"/>
    </row>
    <row r="189" ht="15.75" customHeight="1">
      <c r="E189" s="91"/>
      <c r="G189" s="91"/>
    </row>
    <row r="190" ht="15.75" customHeight="1">
      <c r="E190" s="91"/>
      <c r="G190" s="91"/>
    </row>
    <row r="191" ht="15.75" customHeight="1">
      <c r="E191" s="91"/>
      <c r="G191" s="91"/>
    </row>
    <row r="192" ht="15.75" customHeight="1">
      <c r="E192" s="91"/>
      <c r="G192" s="91"/>
    </row>
    <row r="193" ht="15.75" customHeight="1">
      <c r="E193" s="91"/>
      <c r="G193" s="91"/>
    </row>
    <row r="194" ht="15.75" customHeight="1">
      <c r="E194" s="91"/>
      <c r="G194" s="91"/>
    </row>
    <row r="195" ht="15.75" customHeight="1">
      <c r="E195" s="91"/>
      <c r="G195" s="91"/>
    </row>
    <row r="196" ht="15.75" customHeight="1">
      <c r="E196" s="91"/>
      <c r="G196" s="91"/>
    </row>
    <row r="197" ht="15.75" customHeight="1">
      <c r="E197" s="91"/>
      <c r="G197" s="91"/>
    </row>
    <row r="198" ht="15.75" customHeight="1">
      <c r="E198" s="91"/>
      <c r="G198" s="91"/>
    </row>
    <row r="199" ht="15.75" customHeight="1">
      <c r="E199" s="91"/>
      <c r="G199" s="91"/>
    </row>
    <row r="200" ht="15.75" customHeight="1">
      <c r="E200" s="91"/>
      <c r="G200" s="91"/>
    </row>
    <row r="201" ht="15.75" customHeight="1">
      <c r="E201" s="91"/>
      <c r="G201" s="91"/>
    </row>
    <row r="202" ht="15.75" customHeight="1">
      <c r="E202" s="91"/>
      <c r="G202" s="91"/>
    </row>
    <row r="203" ht="15.75" customHeight="1">
      <c r="E203" s="91"/>
      <c r="G203" s="91"/>
    </row>
    <row r="204" ht="15.75" customHeight="1">
      <c r="E204" s="91"/>
      <c r="G204" s="91"/>
    </row>
    <row r="205" ht="15.75" customHeight="1">
      <c r="E205" s="91"/>
      <c r="G205" s="91"/>
    </row>
    <row r="206" ht="15.75" customHeight="1">
      <c r="E206" s="91"/>
      <c r="G206" s="91"/>
    </row>
    <row r="207" ht="15.75" customHeight="1">
      <c r="E207" s="91"/>
      <c r="G207" s="91"/>
    </row>
    <row r="208" ht="15.75" customHeight="1">
      <c r="E208" s="91"/>
      <c r="G208" s="91"/>
    </row>
    <row r="209" ht="15.75" customHeight="1">
      <c r="E209" s="91"/>
      <c r="G209" s="91"/>
    </row>
    <row r="210" ht="15.75" customHeight="1">
      <c r="E210" s="91"/>
      <c r="G210" s="91"/>
    </row>
    <row r="211" ht="15.75" customHeight="1">
      <c r="E211" s="91"/>
      <c r="G211" s="91"/>
    </row>
    <row r="212" ht="15.75" customHeight="1">
      <c r="E212" s="91"/>
      <c r="G212" s="91"/>
    </row>
    <row r="213" ht="15.75" customHeight="1">
      <c r="E213" s="91"/>
      <c r="G213" s="91"/>
    </row>
    <row r="214" ht="15.75" customHeight="1">
      <c r="E214" s="91"/>
      <c r="G214" s="91"/>
    </row>
    <row r="215" ht="15.75" customHeight="1">
      <c r="E215" s="91"/>
      <c r="G215" s="91"/>
    </row>
    <row r="216" ht="15.75" customHeight="1">
      <c r="E216" s="91"/>
      <c r="G216" s="91"/>
    </row>
    <row r="217" ht="15.75" customHeight="1">
      <c r="E217" s="91"/>
      <c r="G217" s="91"/>
    </row>
    <row r="218" ht="15.75" customHeight="1">
      <c r="E218" s="91"/>
      <c r="G218" s="91"/>
    </row>
    <row r="219" ht="15.75" customHeight="1">
      <c r="E219" s="91"/>
      <c r="G219" s="91"/>
    </row>
    <row r="220" ht="15.75" customHeight="1">
      <c r="E220" s="91"/>
      <c r="G220" s="91"/>
    </row>
    <row r="221" ht="15.75" customHeight="1">
      <c r="E221" s="91"/>
      <c r="G221" s="91"/>
    </row>
    <row r="222" ht="15.75" customHeight="1">
      <c r="E222" s="91"/>
      <c r="G222" s="91"/>
    </row>
    <row r="223" ht="15.75" customHeight="1">
      <c r="E223" s="91"/>
      <c r="G223" s="91"/>
    </row>
    <row r="224" ht="15.75" customHeight="1">
      <c r="E224" s="91"/>
      <c r="G224" s="91"/>
    </row>
    <row r="225" ht="15.75" customHeight="1">
      <c r="E225" s="91"/>
      <c r="G225" s="91"/>
    </row>
    <row r="226" ht="15.75" customHeight="1">
      <c r="E226" s="91"/>
      <c r="G226" s="91"/>
    </row>
    <row r="227" ht="15.75" customHeight="1">
      <c r="E227" s="91"/>
      <c r="G227" s="91"/>
    </row>
    <row r="228" ht="15.75" customHeight="1">
      <c r="E228" s="91"/>
      <c r="G228" s="91"/>
    </row>
    <row r="229" ht="15.75" customHeight="1">
      <c r="E229" s="91"/>
      <c r="G229" s="91"/>
    </row>
    <row r="230" ht="15.75" customHeight="1">
      <c r="E230" s="91"/>
      <c r="G230" s="91"/>
    </row>
    <row r="231" ht="15.75" customHeight="1">
      <c r="E231" s="91"/>
      <c r="G231" s="91"/>
    </row>
    <row r="232" ht="15.75" customHeight="1">
      <c r="E232" s="91"/>
      <c r="G232" s="91"/>
    </row>
    <row r="233" ht="15.75" customHeight="1">
      <c r="E233" s="91"/>
      <c r="G233" s="91"/>
    </row>
    <row r="234" ht="15.75" customHeight="1">
      <c r="E234" s="91"/>
      <c r="G234" s="91"/>
    </row>
    <row r="235" ht="15.75" customHeight="1">
      <c r="E235" s="91"/>
      <c r="G235" s="91"/>
    </row>
    <row r="236" ht="15.75" customHeight="1">
      <c r="E236" s="91"/>
      <c r="G236" s="91"/>
    </row>
    <row r="237" ht="15.75" customHeight="1">
      <c r="E237" s="91"/>
      <c r="G237" s="91"/>
    </row>
    <row r="238" ht="15.75" customHeight="1">
      <c r="E238" s="91"/>
      <c r="G238" s="91"/>
    </row>
    <row r="239" ht="15.75" customHeight="1">
      <c r="E239" s="91"/>
      <c r="G239" s="91"/>
    </row>
    <row r="240" ht="15.75" customHeight="1">
      <c r="E240" s="91"/>
      <c r="G240" s="91"/>
    </row>
    <row r="241" ht="15.75" customHeight="1">
      <c r="E241" s="91"/>
      <c r="G241" s="91"/>
    </row>
    <row r="242" ht="15.75" customHeight="1">
      <c r="E242" s="91"/>
      <c r="G242" s="91"/>
    </row>
    <row r="243" ht="15.75" customHeight="1">
      <c r="E243" s="91"/>
      <c r="G243" s="91"/>
    </row>
    <row r="244" ht="15.75" customHeight="1">
      <c r="E244" s="91"/>
      <c r="G244" s="91"/>
    </row>
    <row r="245" ht="15.75" customHeight="1">
      <c r="E245" s="91"/>
      <c r="G245" s="91"/>
    </row>
    <row r="246" ht="15.75" customHeight="1">
      <c r="E246" s="91"/>
      <c r="G246" s="91"/>
    </row>
    <row r="247" ht="15.75" customHeight="1">
      <c r="E247" s="91"/>
      <c r="G247" s="91"/>
    </row>
    <row r="248" ht="15.75" customHeight="1">
      <c r="E248" s="91"/>
      <c r="G248" s="91"/>
    </row>
    <row r="249" ht="15.75" customHeight="1">
      <c r="E249" s="91"/>
      <c r="G249" s="91"/>
    </row>
    <row r="250" ht="15.75" customHeight="1">
      <c r="E250" s="91"/>
      <c r="G250" s="91"/>
    </row>
    <row r="251" ht="15.75" customHeight="1">
      <c r="E251" s="91"/>
      <c r="G251" s="91"/>
    </row>
    <row r="252" ht="15.75" customHeight="1">
      <c r="E252" s="91"/>
      <c r="G252" s="91"/>
    </row>
    <row r="253" ht="15.75" customHeight="1">
      <c r="E253" s="91"/>
      <c r="G253" s="91"/>
    </row>
    <row r="254" ht="15.75" customHeight="1">
      <c r="E254" s="91"/>
      <c r="G254" s="91"/>
    </row>
    <row r="255" ht="15.75" customHeight="1">
      <c r="E255" s="91"/>
      <c r="G255" s="91"/>
    </row>
    <row r="256" ht="15.75" customHeight="1">
      <c r="E256" s="91"/>
      <c r="G256" s="91"/>
    </row>
    <row r="257" ht="15.75" customHeight="1">
      <c r="E257" s="91"/>
      <c r="G257" s="91"/>
    </row>
    <row r="258" ht="15.75" customHeight="1">
      <c r="E258" s="91"/>
      <c r="G258" s="91"/>
    </row>
    <row r="259" ht="15.75" customHeight="1">
      <c r="E259" s="91"/>
      <c r="G259" s="91"/>
    </row>
    <row r="260" ht="15.75" customHeight="1">
      <c r="E260" s="91"/>
      <c r="G260" s="91"/>
    </row>
    <row r="261" ht="15.75" customHeight="1">
      <c r="E261" s="91"/>
      <c r="G261" s="91"/>
    </row>
    <row r="262" ht="15.75" customHeight="1">
      <c r="E262" s="91"/>
      <c r="G262" s="91"/>
    </row>
    <row r="263" ht="15.75" customHeight="1">
      <c r="E263" s="91"/>
      <c r="G263" s="91"/>
    </row>
    <row r="264" ht="15.75" customHeight="1">
      <c r="E264" s="91"/>
      <c r="G264" s="91"/>
    </row>
    <row r="265" ht="15.75" customHeight="1">
      <c r="E265" s="91"/>
      <c r="G265" s="91"/>
    </row>
    <row r="266" ht="15.75" customHeight="1">
      <c r="E266" s="91"/>
      <c r="G266" s="91"/>
    </row>
    <row r="267" ht="15.75" customHeight="1">
      <c r="E267" s="91"/>
      <c r="G267" s="91"/>
    </row>
    <row r="268" ht="15.75" customHeight="1">
      <c r="E268" s="91"/>
      <c r="G268" s="91"/>
    </row>
    <row r="269" ht="15.75" customHeight="1">
      <c r="E269" s="91"/>
      <c r="G269" s="91"/>
    </row>
    <row r="270" ht="15.75" customHeight="1">
      <c r="E270" s="91"/>
      <c r="G270" s="91"/>
    </row>
    <row r="271" ht="15.75" customHeight="1">
      <c r="E271" s="91"/>
      <c r="G271" s="91"/>
    </row>
    <row r="272" ht="15.75" customHeight="1">
      <c r="E272" s="91"/>
      <c r="G272" s="91"/>
    </row>
    <row r="273" ht="15.75" customHeight="1">
      <c r="E273" s="91"/>
      <c r="G273" s="91"/>
    </row>
    <row r="274" ht="15.75" customHeight="1">
      <c r="E274" s="91"/>
      <c r="G274" s="91"/>
    </row>
    <row r="275" ht="15.75" customHeight="1">
      <c r="E275" s="91"/>
      <c r="G275" s="91"/>
    </row>
    <row r="276" ht="15.75" customHeight="1">
      <c r="E276" s="91"/>
      <c r="G276" s="91"/>
    </row>
    <row r="277" ht="15.75" customHeight="1">
      <c r="E277" s="91"/>
      <c r="G277" s="91"/>
    </row>
    <row r="278" ht="15.75" customHeight="1">
      <c r="E278" s="91"/>
      <c r="G278" s="91"/>
    </row>
    <row r="279" ht="15.75" customHeight="1">
      <c r="E279" s="91"/>
      <c r="G279" s="91"/>
    </row>
    <row r="280" ht="15.75" customHeight="1">
      <c r="E280" s="91"/>
      <c r="G280" s="91"/>
    </row>
    <row r="281" ht="15.75" customHeight="1">
      <c r="E281" s="91"/>
      <c r="G281" s="91"/>
    </row>
    <row r="282" ht="15.75" customHeight="1">
      <c r="E282" s="91"/>
      <c r="G282" s="91"/>
    </row>
    <row r="283" ht="15.75" customHeight="1">
      <c r="E283" s="91"/>
      <c r="G283" s="91"/>
    </row>
    <row r="284" ht="15.75" customHeight="1">
      <c r="E284" s="91"/>
      <c r="G284" s="91"/>
    </row>
    <row r="285" ht="15.75" customHeight="1">
      <c r="E285" s="91"/>
      <c r="G285" s="91"/>
    </row>
    <row r="286" ht="15.75" customHeight="1">
      <c r="E286" s="91"/>
      <c r="G286" s="91"/>
    </row>
    <row r="287" ht="15.75" customHeight="1">
      <c r="E287" s="91"/>
      <c r="G287" s="91"/>
    </row>
    <row r="288" ht="15.75" customHeight="1">
      <c r="E288" s="91"/>
      <c r="G288" s="91"/>
    </row>
    <row r="289" ht="15.75" customHeight="1">
      <c r="E289" s="91"/>
      <c r="G289" s="91"/>
    </row>
    <row r="290" ht="15.75" customHeight="1">
      <c r="E290" s="91"/>
      <c r="G290" s="91"/>
    </row>
    <row r="291" ht="15.75" customHeight="1">
      <c r="E291" s="91"/>
      <c r="G291" s="91"/>
    </row>
    <row r="292" ht="15.75" customHeight="1">
      <c r="E292" s="91"/>
      <c r="G292" s="91"/>
    </row>
    <row r="293" ht="15.75" customHeight="1">
      <c r="E293" s="91"/>
      <c r="G293" s="91"/>
    </row>
    <row r="294" ht="15.75" customHeight="1">
      <c r="E294" s="91"/>
      <c r="G294" s="91"/>
    </row>
    <row r="295" ht="15.75" customHeight="1">
      <c r="E295" s="91"/>
      <c r="G295" s="91"/>
    </row>
    <row r="296" ht="15.75" customHeight="1">
      <c r="E296" s="91"/>
      <c r="G296" s="91"/>
    </row>
    <row r="297" ht="15.75" customHeight="1">
      <c r="E297" s="91"/>
      <c r="G297" s="91"/>
    </row>
    <row r="298" ht="15.75" customHeight="1">
      <c r="E298" s="91"/>
      <c r="G298" s="91"/>
    </row>
    <row r="299" ht="15.75" customHeight="1">
      <c r="E299" s="91"/>
      <c r="G299" s="91"/>
    </row>
    <row r="300" ht="15.75" customHeight="1">
      <c r="E300" s="91"/>
      <c r="G300" s="91"/>
    </row>
    <row r="301" ht="15.75" customHeight="1">
      <c r="E301" s="91"/>
      <c r="G301" s="91"/>
    </row>
    <row r="302" ht="15.75" customHeight="1">
      <c r="E302" s="91"/>
      <c r="G302" s="91"/>
    </row>
    <row r="303" ht="15.75" customHeight="1">
      <c r="E303" s="91"/>
      <c r="G303" s="91"/>
    </row>
    <row r="304" ht="15.75" customHeight="1">
      <c r="E304" s="91"/>
      <c r="G304" s="91"/>
    </row>
    <row r="305" ht="15.75" customHeight="1">
      <c r="E305" s="91"/>
      <c r="G305" s="91"/>
    </row>
    <row r="306" ht="15.75" customHeight="1">
      <c r="E306" s="91"/>
      <c r="G306" s="91"/>
    </row>
    <row r="307" ht="15.75" customHeight="1">
      <c r="E307" s="91"/>
      <c r="G307" s="91"/>
    </row>
    <row r="308" ht="15.75" customHeight="1">
      <c r="E308" s="91"/>
      <c r="G308" s="91"/>
    </row>
    <row r="309" ht="15.75" customHeight="1">
      <c r="E309" s="91"/>
      <c r="G309" s="91"/>
    </row>
    <row r="310" ht="15.75" customHeight="1">
      <c r="E310" s="91"/>
      <c r="G310" s="91"/>
    </row>
    <row r="311" ht="15.75" customHeight="1">
      <c r="E311" s="91"/>
      <c r="G311" s="91"/>
    </row>
    <row r="312" ht="15.75" customHeight="1">
      <c r="E312" s="91"/>
      <c r="G312" s="91"/>
    </row>
    <row r="313" ht="15.75" customHeight="1">
      <c r="E313" s="91"/>
      <c r="G313" s="91"/>
    </row>
    <row r="314" ht="15.75" customHeight="1">
      <c r="E314" s="91"/>
      <c r="G314" s="91"/>
    </row>
    <row r="315" ht="15.75" customHeight="1">
      <c r="E315" s="91"/>
      <c r="G315" s="91"/>
    </row>
    <row r="316" ht="15.75" customHeight="1">
      <c r="E316" s="91"/>
      <c r="G316" s="91"/>
    </row>
    <row r="317" ht="15.75" customHeight="1">
      <c r="E317" s="91"/>
      <c r="G317" s="91"/>
    </row>
    <row r="318" ht="15.75" customHeight="1">
      <c r="E318" s="91"/>
      <c r="G318" s="91"/>
    </row>
    <row r="319" ht="15.75" customHeight="1">
      <c r="E319" s="91"/>
      <c r="G319" s="91"/>
    </row>
    <row r="320" ht="15.75" customHeight="1">
      <c r="E320" s="91"/>
      <c r="G320" s="91"/>
    </row>
    <row r="321" ht="15.75" customHeight="1">
      <c r="E321" s="91"/>
      <c r="G321" s="91"/>
    </row>
    <row r="322" ht="15.75" customHeight="1">
      <c r="E322" s="91"/>
      <c r="G322" s="91"/>
    </row>
    <row r="323" ht="15.75" customHeight="1">
      <c r="E323" s="91"/>
      <c r="G323" s="91"/>
    </row>
    <row r="324" ht="15.75" customHeight="1">
      <c r="E324" s="91"/>
      <c r="G324" s="91"/>
    </row>
    <row r="325" ht="15.75" customHeight="1">
      <c r="E325" s="91"/>
      <c r="G325" s="91"/>
    </row>
    <row r="326" ht="15.75" customHeight="1">
      <c r="E326" s="91"/>
      <c r="G326" s="91"/>
    </row>
    <row r="327" ht="15.75" customHeight="1">
      <c r="E327" s="91"/>
      <c r="G327" s="91"/>
    </row>
    <row r="328" ht="15.75" customHeight="1">
      <c r="E328" s="91"/>
      <c r="G328" s="91"/>
    </row>
    <row r="329" ht="15.75" customHeight="1">
      <c r="E329" s="91"/>
      <c r="G329" s="91"/>
    </row>
    <row r="330" ht="15.75" customHeight="1">
      <c r="E330" s="91"/>
      <c r="G330" s="91"/>
    </row>
    <row r="331" ht="15.75" customHeight="1">
      <c r="E331" s="91"/>
      <c r="G331" s="91"/>
    </row>
    <row r="332" ht="15.75" customHeight="1">
      <c r="E332" s="91"/>
      <c r="G332" s="91"/>
    </row>
    <row r="333" ht="15.75" customHeight="1">
      <c r="E333" s="91"/>
      <c r="G333" s="91"/>
    </row>
    <row r="334" ht="15.75" customHeight="1">
      <c r="E334" s="91"/>
      <c r="G334" s="91"/>
    </row>
    <row r="335" ht="15.75" customHeight="1">
      <c r="E335" s="91"/>
      <c r="G335" s="91"/>
    </row>
    <row r="336" ht="15.75" customHeight="1">
      <c r="E336" s="91"/>
      <c r="G336" s="91"/>
    </row>
    <row r="337" ht="15.75" customHeight="1">
      <c r="E337" s="91"/>
      <c r="G337" s="91"/>
    </row>
    <row r="338" ht="15.75" customHeight="1">
      <c r="E338" s="91"/>
      <c r="G338" s="91"/>
    </row>
    <row r="339" ht="15.75" customHeight="1">
      <c r="E339" s="91"/>
      <c r="G339" s="91"/>
    </row>
    <row r="340" ht="15.75" customHeight="1">
      <c r="E340" s="91"/>
      <c r="G340" s="91"/>
    </row>
    <row r="341" ht="15.75" customHeight="1">
      <c r="E341" s="91"/>
      <c r="G341" s="91"/>
    </row>
    <row r="342" ht="15.75" customHeight="1">
      <c r="E342" s="91"/>
      <c r="G342" s="91"/>
    </row>
    <row r="343" ht="15.75" customHeight="1">
      <c r="E343" s="91"/>
      <c r="G343" s="91"/>
    </row>
    <row r="344" ht="15.75" customHeight="1">
      <c r="E344" s="91"/>
      <c r="G344" s="91"/>
    </row>
    <row r="345" ht="15.75" customHeight="1">
      <c r="E345" s="91"/>
      <c r="G345" s="91"/>
    </row>
    <row r="346" ht="15.75" customHeight="1">
      <c r="E346" s="91"/>
      <c r="G346" s="91"/>
    </row>
    <row r="347" ht="15.75" customHeight="1">
      <c r="E347" s="91"/>
      <c r="G347" s="91"/>
    </row>
    <row r="348" ht="15.75" customHeight="1">
      <c r="E348" s="91"/>
      <c r="G348" s="91"/>
    </row>
    <row r="349" ht="15.75" customHeight="1">
      <c r="E349" s="91"/>
      <c r="G349" s="91"/>
    </row>
    <row r="350" ht="15.75" customHeight="1">
      <c r="E350" s="91"/>
      <c r="G350" s="91"/>
    </row>
    <row r="351" ht="15.75" customHeight="1">
      <c r="E351" s="91"/>
      <c r="G351" s="91"/>
    </row>
    <row r="352" ht="15.75" customHeight="1">
      <c r="E352" s="91"/>
      <c r="G352" s="91"/>
    </row>
    <row r="353" ht="15.75" customHeight="1">
      <c r="E353" s="91"/>
      <c r="G353" s="91"/>
    </row>
    <row r="354" ht="15.75" customHeight="1">
      <c r="E354" s="91"/>
      <c r="G354" s="91"/>
    </row>
    <row r="355" ht="15.75" customHeight="1">
      <c r="E355" s="91"/>
      <c r="G355" s="91"/>
    </row>
    <row r="356" ht="15.75" customHeight="1">
      <c r="E356" s="91"/>
      <c r="G356" s="91"/>
    </row>
    <row r="357" ht="15.75" customHeight="1">
      <c r="E357" s="91"/>
      <c r="G357" s="91"/>
    </row>
    <row r="358" ht="15.75" customHeight="1">
      <c r="E358" s="91"/>
      <c r="G358" s="91"/>
    </row>
    <row r="359" ht="15.75" customHeight="1">
      <c r="E359" s="91"/>
      <c r="G359" s="91"/>
    </row>
    <row r="360" ht="15.75" customHeight="1">
      <c r="E360" s="91"/>
      <c r="G360" s="91"/>
    </row>
    <row r="361" ht="15.75" customHeight="1">
      <c r="E361" s="91"/>
      <c r="G361" s="91"/>
    </row>
    <row r="362" ht="15.75" customHeight="1">
      <c r="E362" s="91"/>
      <c r="G362" s="91"/>
    </row>
    <row r="363" ht="15.75" customHeight="1">
      <c r="E363" s="91"/>
      <c r="G363" s="91"/>
    </row>
    <row r="364" ht="15.75" customHeight="1">
      <c r="E364" s="91"/>
      <c r="G364" s="91"/>
    </row>
    <row r="365" ht="15.75" customHeight="1">
      <c r="E365" s="91"/>
      <c r="G365" s="91"/>
    </row>
    <row r="366" ht="15.75" customHeight="1">
      <c r="E366" s="91"/>
      <c r="G366" s="91"/>
    </row>
    <row r="367" ht="15.75" customHeight="1">
      <c r="E367" s="91"/>
      <c r="G367" s="91"/>
    </row>
    <row r="368" ht="15.75" customHeight="1">
      <c r="E368" s="91"/>
      <c r="G368" s="91"/>
    </row>
    <row r="369" ht="15.75" customHeight="1">
      <c r="E369" s="91"/>
      <c r="G369" s="91"/>
    </row>
    <row r="370" ht="15.75" customHeight="1">
      <c r="E370" s="91"/>
      <c r="G370" s="91"/>
    </row>
    <row r="371" ht="15.75" customHeight="1">
      <c r="E371" s="91"/>
      <c r="G371" s="91"/>
    </row>
    <row r="372" ht="15.75" customHeight="1">
      <c r="E372" s="91"/>
      <c r="G372" s="91"/>
    </row>
    <row r="373" ht="15.75" customHeight="1">
      <c r="E373" s="91"/>
      <c r="G373" s="91"/>
    </row>
    <row r="374" ht="15.75" customHeight="1">
      <c r="E374" s="91"/>
      <c r="G374" s="91"/>
    </row>
    <row r="375" ht="15.75" customHeight="1">
      <c r="E375" s="91"/>
      <c r="G375" s="91"/>
    </row>
    <row r="376" ht="15.75" customHeight="1">
      <c r="E376" s="91"/>
      <c r="G376" s="91"/>
    </row>
    <row r="377" ht="15.75" customHeight="1">
      <c r="E377" s="91"/>
      <c r="G377" s="91"/>
    </row>
    <row r="378" ht="15.75" customHeight="1">
      <c r="E378" s="91"/>
      <c r="G378" s="91"/>
    </row>
    <row r="379" ht="15.75" customHeight="1">
      <c r="E379" s="91"/>
      <c r="G379" s="91"/>
    </row>
    <row r="380" ht="15.75" customHeight="1">
      <c r="E380" s="91"/>
      <c r="G380" s="91"/>
    </row>
    <row r="381" ht="15.75" customHeight="1">
      <c r="E381" s="91"/>
      <c r="G381" s="91"/>
    </row>
    <row r="382" ht="15.75" customHeight="1">
      <c r="E382" s="91"/>
      <c r="G382" s="91"/>
    </row>
    <row r="383" ht="15.75" customHeight="1">
      <c r="E383" s="91"/>
      <c r="G383" s="91"/>
    </row>
    <row r="384" ht="15.75" customHeight="1">
      <c r="E384" s="91"/>
      <c r="G384" s="91"/>
    </row>
    <row r="385" ht="15.75" customHeight="1">
      <c r="E385" s="91"/>
      <c r="G385" s="91"/>
    </row>
    <row r="386" ht="15.75" customHeight="1">
      <c r="E386" s="91"/>
      <c r="G386" s="91"/>
    </row>
    <row r="387" ht="15.75" customHeight="1">
      <c r="E387" s="91"/>
      <c r="G387" s="91"/>
    </row>
    <row r="388" ht="15.75" customHeight="1">
      <c r="E388" s="91"/>
      <c r="G388" s="91"/>
    </row>
    <row r="389" ht="15.75" customHeight="1">
      <c r="E389" s="91"/>
      <c r="G389" s="91"/>
    </row>
    <row r="390" ht="15.75" customHeight="1">
      <c r="E390" s="91"/>
      <c r="G390" s="91"/>
    </row>
    <row r="391" ht="15.75" customHeight="1">
      <c r="E391" s="91"/>
      <c r="G391" s="91"/>
    </row>
    <row r="392" ht="15.75" customHeight="1">
      <c r="E392" s="91"/>
      <c r="G392" s="91"/>
    </row>
    <row r="393" ht="15.75" customHeight="1">
      <c r="E393" s="91"/>
      <c r="G393" s="91"/>
    </row>
    <row r="394" ht="15.75" customHeight="1">
      <c r="E394" s="91"/>
      <c r="G394" s="91"/>
    </row>
    <row r="395" ht="15.75" customHeight="1">
      <c r="E395" s="91"/>
      <c r="G395" s="91"/>
    </row>
    <row r="396" ht="15.75" customHeight="1">
      <c r="E396" s="91"/>
      <c r="G396" s="91"/>
    </row>
    <row r="397" ht="15.75" customHeight="1">
      <c r="E397" s="91"/>
      <c r="G397" s="91"/>
    </row>
    <row r="398" ht="15.75" customHeight="1">
      <c r="E398" s="91"/>
      <c r="G398" s="91"/>
    </row>
    <row r="399" ht="15.75" customHeight="1">
      <c r="E399" s="91"/>
      <c r="G399" s="91"/>
    </row>
    <row r="400" ht="15.75" customHeight="1">
      <c r="E400" s="91"/>
      <c r="G400" s="91"/>
    </row>
    <row r="401" ht="15.75" customHeight="1">
      <c r="E401" s="91"/>
      <c r="G401" s="91"/>
    </row>
    <row r="402" ht="15.75" customHeight="1">
      <c r="E402" s="91"/>
      <c r="G402" s="91"/>
    </row>
    <row r="403" ht="15.75" customHeight="1">
      <c r="E403" s="91"/>
      <c r="G403" s="91"/>
    </row>
    <row r="404" ht="15.75" customHeight="1">
      <c r="E404" s="91"/>
      <c r="G404" s="91"/>
    </row>
    <row r="405" ht="15.75" customHeight="1">
      <c r="E405" s="91"/>
      <c r="G405" s="91"/>
    </row>
    <row r="406" ht="15.75" customHeight="1">
      <c r="E406" s="91"/>
      <c r="G406" s="91"/>
    </row>
    <row r="407" ht="15.75" customHeight="1">
      <c r="E407" s="91"/>
      <c r="G407" s="91"/>
    </row>
    <row r="408" ht="15.75" customHeight="1">
      <c r="E408" s="91"/>
      <c r="G408" s="91"/>
    </row>
    <row r="409" ht="15.75" customHeight="1">
      <c r="E409" s="91"/>
      <c r="G409" s="91"/>
    </row>
    <row r="410" ht="15.75" customHeight="1">
      <c r="E410" s="91"/>
      <c r="G410" s="91"/>
    </row>
    <row r="411" ht="15.75" customHeight="1">
      <c r="E411" s="91"/>
      <c r="G411" s="91"/>
    </row>
    <row r="412" ht="15.75" customHeight="1">
      <c r="E412" s="91"/>
      <c r="G412" s="91"/>
    </row>
    <row r="413" ht="15.75" customHeight="1">
      <c r="E413" s="91"/>
      <c r="G413" s="91"/>
    </row>
    <row r="414" ht="15.75" customHeight="1">
      <c r="E414" s="91"/>
      <c r="G414" s="91"/>
    </row>
    <row r="415" ht="15.75" customHeight="1">
      <c r="E415" s="91"/>
      <c r="G415" s="91"/>
    </row>
    <row r="416" ht="15.75" customHeight="1">
      <c r="E416" s="91"/>
      <c r="G416" s="91"/>
    </row>
    <row r="417" ht="15.75" customHeight="1">
      <c r="E417" s="91"/>
      <c r="G417" s="91"/>
    </row>
    <row r="418" ht="15.75" customHeight="1">
      <c r="E418" s="91"/>
      <c r="G418" s="91"/>
    </row>
    <row r="419" ht="15.75" customHeight="1">
      <c r="E419" s="91"/>
      <c r="G419" s="91"/>
    </row>
    <row r="420" ht="15.75" customHeight="1">
      <c r="E420" s="91"/>
      <c r="G420" s="91"/>
    </row>
    <row r="421" ht="15.75" customHeight="1">
      <c r="E421" s="91"/>
      <c r="G421" s="91"/>
    </row>
    <row r="422" ht="15.75" customHeight="1">
      <c r="E422" s="91"/>
      <c r="G422" s="91"/>
    </row>
    <row r="423" ht="15.75" customHeight="1">
      <c r="E423" s="91"/>
      <c r="G423" s="91"/>
    </row>
    <row r="424" ht="15.75" customHeight="1">
      <c r="E424" s="91"/>
      <c r="G424" s="91"/>
    </row>
    <row r="425" ht="15.75" customHeight="1">
      <c r="E425" s="91"/>
      <c r="G425" s="91"/>
    </row>
    <row r="426" ht="15.75" customHeight="1">
      <c r="E426" s="91"/>
      <c r="G426" s="91"/>
    </row>
    <row r="427" ht="15.75" customHeight="1">
      <c r="E427" s="91"/>
      <c r="G427" s="91"/>
    </row>
    <row r="428" ht="15.75" customHeight="1">
      <c r="E428" s="91"/>
      <c r="G428" s="91"/>
    </row>
    <row r="429" ht="15.75" customHeight="1">
      <c r="E429" s="91"/>
      <c r="G429" s="91"/>
    </row>
    <row r="430" ht="15.75" customHeight="1">
      <c r="E430" s="91"/>
      <c r="G430" s="91"/>
    </row>
    <row r="431" ht="15.75" customHeight="1">
      <c r="E431" s="91"/>
      <c r="G431" s="91"/>
    </row>
    <row r="432" ht="15.75" customHeight="1">
      <c r="E432" s="91"/>
      <c r="G432" s="91"/>
    </row>
    <row r="433" ht="15.75" customHeight="1">
      <c r="E433" s="91"/>
      <c r="G433" s="91"/>
    </row>
    <row r="434" ht="15.75" customHeight="1">
      <c r="E434" s="91"/>
      <c r="G434" s="91"/>
    </row>
    <row r="435" ht="15.75" customHeight="1">
      <c r="E435" s="91"/>
      <c r="G435" s="91"/>
    </row>
    <row r="436" ht="15.75" customHeight="1">
      <c r="E436" s="91"/>
      <c r="G436" s="91"/>
    </row>
    <row r="437" ht="15.75" customHeight="1">
      <c r="E437" s="91"/>
      <c r="G437" s="91"/>
    </row>
    <row r="438" ht="15.75" customHeight="1">
      <c r="E438" s="91"/>
      <c r="G438" s="91"/>
    </row>
    <row r="439" ht="15.75" customHeight="1">
      <c r="E439" s="91"/>
      <c r="G439" s="91"/>
    </row>
    <row r="440" ht="15.75" customHeight="1">
      <c r="E440" s="91"/>
      <c r="G440" s="91"/>
    </row>
    <row r="441" ht="15.75" customHeight="1">
      <c r="E441" s="91"/>
      <c r="G441" s="91"/>
    </row>
    <row r="442" ht="15.75" customHeight="1">
      <c r="E442" s="91"/>
      <c r="G442" s="91"/>
    </row>
    <row r="443" ht="15.75" customHeight="1">
      <c r="E443" s="91"/>
      <c r="G443" s="91"/>
    </row>
    <row r="444" ht="15.75" customHeight="1">
      <c r="E444" s="91"/>
      <c r="G444" s="91"/>
    </row>
    <row r="445" ht="15.75" customHeight="1">
      <c r="E445" s="91"/>
      <c r="G445" s="91"/>
    </row>
    <row r="446" ht="15.75" customHeight="1">
      <c r="E446" s="91"/>
      <c r="G446" s="91"/>
    </row>
    <row r="447" ht="15.75" customHeight="1">
      <c r="E447" s="91"/>
      <c r="G447" s="91"/>
    </row>
    <row r="448" ht="15.75" customHeight="1">
      <c r="E448" s="91"/>
      <c r="G448" s="91"/>
    </row>
    <row r="449" ht="15.75" customHeight="1">
      <c r="E449" s="91"/>
      <c r="G449" s="91"/>
    </row>
    <row r="450" ht="15.75" customHeight="1">
      <c r="E450" s="91"/>
      <c r="G450" s="91"/>
    </row>
    <row r="451" ht="15.75" customHeight="1">
      <c r="E451" s="91"/>
      <c r="G451" s="91"/>
    </row>
    <row r="452" ht="15.75" customHeight="1">
      <c r="E452" s="91"/>
      <c r="G452" s="91"/>
    </row>
    <row r="453" ht="15.75" customHeight="1">
      <c r="E453" s="91"/>
      <c r="G453" s="91"/>
    </row>
    <row r="454" ht="15.75" customHeight="1">
      <c r="E454" s="91"/>
      <c r="G454" s="91"/>
    </row>
    <row r="455" ht="15.75" customHeight="1">
      <c r="E455" s="91"/>
      <c r="G455" s="91"/>
    </row>
    <row r="456" ht="15.75" customHeight="1">
      <c r="E456" s="91"/>
      <c r="G456" s="91"/>
    </row>
    <row r="457" ht="15.75" customHeight="1">
      <c r="E457" s="91"/>
      <c r="G457" s="91"/>
    </row>
    <row r="458" ht="15.75" customHeight="1">
      <c r="E458" s="91"/>
      <c r="G458" s="91"/>
    </row>
    <row r="459" ht="15.75" customHeight="1">
      <c r="E459" s="91"/>
      <c r="G459" s="91"/>
    </row>
    <row r="460" ht="15.75" customHeight="1">
      <c r="E460" s="91"/>
      <c r="G460" s="91"/>
    </row>
    <row r="461" ht="15.75" customHeight="1">
      <c r="E461" s="91"/>
      <c r="G461" s="91"/>
    </row>
    <row r="462" ht="15.75" customHeight="1">
      <c r="E462" s="91"/>
      <c r="G462" s="91"/>
    </row>
    <row r="463" ht="15.75" customHeight="1">
      <c r="E463" s="91"/>
      <c r="G463" s="91"/>
    </row>
    <row r="464" ht="15.75" customHeight="1">
      <c r="E464" s="91"/>
      <c r="G464" s="91"/>
    </row>
    <row r="465" ht="15.75" customHeight="1">
      <c r="E465" s="91"/>
      <c r="G465" s="91"/>
    </row>
    <row r="466" ht="15.75" customHeight="1">
      <c r="E466" s="91"/>
      <c r="G466" s="91"/>
    </row>
    <row r="467" ht="15.75" customHeight="1">
      <c r="E467" s="91"/>
      <c r="G467" s="91"/>
    </row>
    <row r="468" ht="15.75" customHeight="1">
      <c r="E468" s="91"/>
      <c r="G468" s="91"/>
    </row>
    <row r="469" ht="15.75" customHeight="1">
      <c r="E469" s="91"/>
      <c r="G469" s="91"/>
    </row>
    <row r="470" ht="15.75" customHeight="1">
      <c r="E470" s="91"/>
      <c r="G470" s="91"/>
    </row>
    <row r="471" ht="15.75" customHeight="1">
      <c r="E471" s="91"/>
      <c r="G471" s="91"/>
    </row>
    <row r="472" ht="15.75" customHeight="1">
      <c r="E472" s="91"/>
      <c r="G472" s="91"/>
    </row>
    <row r="473" ht="15.75" customHeight="1">
      <c r="E473" s="91"/>
      <c r="G473" s="91"/>
    </row>
    <row r="474" ht="15.75" customHeight="1">
      <c r="E474" s="91"/>
      <c r="G474" s="91"/>
    </row>
    <row r="475" ht="15.75" customHeight="1">
      <c r="E475" s="91"/>
      <c r="G475" s="91"/>
    </row>
    <row r="476" ht="15.75" customHeight="1">
      <c r="E476" s="91"/>
      <c r="G476" s="91"/>
    </row>
    <row r="477" ht="15.75" customHeight="1">
      <c r="E477" s="91"/>
      <c r="G477" s="91"/>
    </row>
    <row r="478" ht="15.75" customHeight="1">
      <c r="E478" s="91"/>
      <c r="G478" s="91"/>
    </row>
    <row r="479" ht="15.75" customHeight="1">
      <c r="E479" s="91"/>
      <c r="G479" s="91"/>
    </row>
    <row r="480" ht="15.75" customHeight="1">
      <c r="E480" s="91"/>
      <c r="G480" s="91"/>
    </row>
    <row r="481" ht="15.75" customHeight="1">
      <c r="E481" s="91"/>
      <c r="G481" s="91"/>
    </row>
    <row r="482" ht="15.75" customHeight="1">
      <c r="E482" s="91"/>
      <c r="G482" s="91"/>
    </row>
    <row r="483" ht="15.75" customHeight="1">
      <c r="E483" s="91"/>
      <c r="G483" s="91"/>
    </row>
    <row r="484" ht="15.75" customHeight="1">
      <c r="E484" s="91"/>
      <c r="G484" s="91"/>
    </row>
    <row r="485" ht="15.75" customHeight="1">
      <c r="E485" s="91"/>
      <c r="G485" s="91"/>
    </row>
    <row r="486" ht="15.75" customHeight="1">
      <c r="E486" s="91"/>
      <c r="G486" s="91"/>
    </row>
    <row r="487" ht="15.75" customHeight="1">
      <c r="E487" s="91"/>
      <c r="G487" s="91"/>
    </row>
    <row r="488" ht="15.75" customHeight="1">
      <c r="E488" s="91"/>
      <c r="G488" s="91"/>
    </row>
    <row r="489" ht="15.75" customHeight="1">
      <c r="E489" s="91"/>
      <c r="G489" s="91"/>
    </row>
    <row r="490" ht="15.75" customHeight="1">
      <c r="E490" s="91"/>
      <c r="G490" s="91"/>
    </row>
    <row r="491" ht="15.75" customHeight="1">
      <c r="E491" s="91"/>
      <c r="G491" s="91"/>
    </row>
    <row r="492" ht="15.75" customHeight="1">
      <c r="E492" s="91"/>
      <c r="G492" s="91"/>
    </row>
    <row r="493" ht="15.75" customHeight="1">
      <c r="E493" s="91"/>
      <c r="G493" s="91"/>
    </row>
    <row r="494" ht="15.75" customHeight="1">
      <c r="E494" s="91"/>
      <c r="G494" s="91"/>
    </row>
    <row r="495" ht="15.75" customHeight="1">
      <c r="E495" s="91"/>
      <c r="G495" s="91"/>
    </row>
    <row r="496" ht="15.75" customHeight="1">
      <c r="E496" s="91"/>
      <c r="G496" s="91"/>
    </row>
    <row r="497" ht="15.75" customHeight="1">
      <c r="E497" s="91"/>
      <c r="G497" s="91"/>
    </row>
    <row r="498" ht="15.75" customHeight="1">
      <c r="E498" s="91"/>
      <c r="G498" s="91"/>
    </row>
    <row r="499" ht="15.75" customHeight="1">
      <c r="E499" s="91"/>
      <c r="G499" s="91"/>
    </row>
    <row r="500" ht="15.75" customHeight="1">
      <c r="E500" s="91"/>
      <c r="G500" s="91"/>
    </row>
    <row r="501" ht="15.75" customHeight="1">
      <c r="E501" s="91"/>
      <c r="G501" s="91"/>
    </row>
    <row r="502" ht="15.75" customHeight="1">
      <c r="E502" s="91"/>
      <c r="G502" s="91"/>
    </row>
    <row r="503" ht="15.75" customHeight="1">
      <c r="E503" s="91"/>
      <c r="G503" s="91"/>
    </row>
    <row r="504" ht="15.75" customHeight="1">
      <c r="E504" s="91"/>
      <c r="G504" s="91"/>
    </row>
    <row r="505" ht="15.75" customHeight="1">
      <c r="E505" s="91"/>
      <c r="G505" s="91"/>
    </row>
    <row r="506" ht="15.75" customHeight="1">
      <c r="E506" s="91"/>
      <c r="G506" s="91"/>
    </row>
    <row r="507" ht="15.75" customHeight="1">
      <c r="E507" s="91"/>
      <c r="G507" s="91"/>
    </row>
    <row r="508" ht="15.75" customHeight="1">
      <c r="E508" s="91"/>
      <c r="G508" s="91"/>
    </row>
    <row r="509" ht="15.75" customHeight="1">
      <c r="E509" s="91"/>
      <c r="G509" s="91"/>
    </row>
    <row r="510" ht="15.75" customHeight="1">
      <c r="E510" s="91"/>
      <c r="G510" s="91"/>
    </row>
    <row r="511" ht="15.75" customHeight="1">
      <c r="E511" s="91"/>
      <c r="G511" s="91"/>
    </row>
    <row r="512" ht="15.75" customHeight="1">
      <c r="E512" s="91"/>
      <c r="G512" s="91"/>
    </row>
    <row r="513" ht="15.75" customHeight="1">
      <c r="E513" s="91"/>
      <c r="G513" s="91"/>
    </row>
    <row r="514" ht="15.75" customHeight="1">
      <c r="E514" s="91"/>
      <c r="G514" s="91"/>
    </row>
    <row r="515" ht="15.75" customHeight="1">
      <c r="E515" s="91"/>
      <c r="G515" s="91"/>
    </row>
    <row r="516" ht="15.75" customHeight="1">
      <c r="E516" s="91"/>
      <c r="G516" s="91"/>
    </row>
    <row r="517" ht="15.75" customHeight="1">
      <c r="E517" s="91"/>
      <c r="G517" s="91"/>
    </row>
    <row r="518" ht="15.75" customHeight="1">
      <c r="E518" s="91"/>
      <c r="G518" s="91"/>
    </row>
    <row r="519" ht="15.75" customHeight="1">
      <c r="E519" s="91"/>
      <c r="G519" s="91"/>
    </row>
    <row r="520" ht="15.75" customHeight="1">
      <c r="E520" s="91"/>
      <c r="G520" s="91"/>
    </row>
    <row r="521" ht="15.75" customHeight="1">
      <c r="E521" s="91"/>
      <c r="G521" s="91"/>
    </row>
    <row r="522" ht="15.75" customHeight="1">
      <c r="E522" s="91"/>
      <c r="G522" s="91"/>
    </row>
    <row r="523" ht="15.75" customHeight="1">
      <c r="E523" s="91"/>
      <c r="G523" s="91"/>
    </row>
    <row r="524" ht="15.75" customHeight="1">
      <c r="E524" s="91"/>
      <c r="G524" s="91"/>
    </row>
    <row r="525" ht="15.75" customHeight="1">
      <c r="E525" s="91"/>
      <c r="G525" s="91"/>
    </row>
    <row r="526" ht="15.75" customHeight="1">
      <c r="E526" s="91"/>
      <c r="G526" s="91"/>
    </row>
    <row r="527" ht="15.75" customHeight="1">
      <c r="E527" s="91"/>
      <c r="G527" s="91"/>
    </row>
    <row r="528" ht="15.75" customHeight="1">
      <c r="E528" s="91"/>
      <c r="G528" s="91"/>
    </row>
    <row r="529" ht="15.75" customHeight="1">
      <c r="E529" s="91"/>
      <c r="G529" s="91"/>
    </row>
    <row r="530" ht="15.75" customHeight="1">
      <c r="E530" s="91"/>
      <c r="G530" s="91"/>
    </row>
    <row r="531" ht="15.75" customHeight="1">
      <c r="E531" s="91"/>
      <c r="G531" s="91"/>
    </row>
    <row r="532" ht="15.75" customHeight="1">
      <c r="E532" s="91"/>
      <c r="G532" s="91"/>
    </row>
    <row r="533" ht="15.75" customHeight="1">
      <c r="E533" s="91"/>
      <c r="G533" s="91"/>
    </row>
    <row r="534" ht="15.75" customHeight="1">
      <c r="E534" s="91"/>
      <c r="G534" s="91"/>
    </row>
    <row r="535" ht="15.75" customHeight="1">
      <c r="E535" s="91"/>
      <c r="G535" s="91"/>
    </row>
    <row r="536" ht="15.75" customHeight="1">
      <c r="E536" s="91"/>
      <c r="G536" s="91"/>
    </row>
    <row r="537" ht="15.75" customHeight="1">
      <c r="E537" s="91"/>
      <c r="G537" s="91"/>
    </row>
    <row r="538" ht="15.75" customHeight="1">
      <c r="E538" s="91"/>
      <c r="G538" s="91"/>
    </row>
    <row r="539" ht="15.75" customHeight="1">
      <c r="E539" s="91"/>
      <c r="G539" s="91"/>
    </row>
    <row r="540" ht="15.75" customHeight="1">
      <c r="E540" s="91"/>
      <c r="G540" s="91"/>
    </row>
    <row r="541" ht="15.75" customHeight="1">
      <c r="E541" s="91"/>
      <c r="G541" s="91"/>
    </row>
    <row r="542" ht="15.75" customHeight="1">
      <c r="E542" s="91"/>
      <c r="G542" s="91"/>
    </row>
    <row r="543" ht="15.75" customHeight="1">
      <c r="E543" s="91"/>
      <c r="G543" s="91"/>
    </row>
    <row r="544" ht="15.75" customHeight="1">
      <c r="E544" s="91"/>
      <c r="G544" s="91"/>
    </row>
    <row r="545" ht="15.75" customHeight="1">
      <c r="E545" s="91"/>
      <c r="G545" s="91"/>
    </row>
    <row r="546" ht="15.75" customHeight="1">
      <c r="E546" s="91"/>
      <c r="G546" s="91"/>
    </row>
    <row r="547" ht="15.75" customHeight="1">
      <c r="E547" s="91"/>
      <c r="G547" s="91"/>
    </row>
    <row r="548" ht="15.75" customHeight="1">
      <c r="E548" s="91"/>
      <c r="G548" s="91"/>
    </row>
    <row r="549" ht="15.75" customHeight="1">
      <c r="E549" s="91"/>
      <c r="G549" s="91"/>
    </row>
    <row r="550" ht="15.75" customHeight="1">
      <c r="E550" s="91"/>
      <c r="G550" s="91"/>
    </row>
    <row r="551" ht="15.75" customHeight="1">
      <c r="E551" s="91"/>
      <c r="G551" s="91"/>
    </row>
    <row r="552" ht="15.75" customHeight="1">
      <c r="E552" s="91"/>
      <c r="G552" s="91"/>
    </row>
    <row r="553" ht="15.75" customHeight="1">
      <c r="E553" s="91"/>
      <c r="G553" s="91"/>
    </row>
    <row r="554" ht="15.75" customHeight="1">
      <c r="E554" s="91"/>
      <c r="G554" s="91"/>
    </row>
    <row r="555" ht="15.75" customHeight="1">
      <c r="E555" s="91"/>
      <c r="G555" s="91"/>
    </row>
    <row r="556" ht="15.75" customHeight="1">
      <c r="E556" s="91"/>
      <c r="G556" s="91"/>
    </row>
    <row r="557" ht="15.75" customHeight="1">
      <c r="E557" s="91"/>
      <c r="G557" s="91"/>
    </row>
    <row r="558" ht="15.75" customHeight="1">
      <c r="E558" s="91"/>
      <c r="G558" s="91"/>
    </row>
    <row r="559" ht="15.75" customHeight="1">
      <c r="E559" s="91"/>
      <c r="G559" s="91"/>
    </row>
    <row r="560" ht="15.75" customHeight="1">
      <c r="E560" s="91"/>
      <c r="G560" s="91"/>
    </row>
    <row r="561" ht="15.75" customHeight="1">
      <c r="E561" s="91"/>
      <c r="G561" s="91"/>
    </row>
    <row r="562" ht="15.75" customHeight="1">
      <c r="E562" s="91"/>
      <c r="G562" s="91"/>
    </row>
    <row r="563" ht="15.75" customHeight="1">
      <c r="E563" s="91"/>
      <c r="G563" s="91"/>
    </row>
    <row r="564" ht="15.75" customHeight="1">
      <c r="E564" s="91"/>
      <c r="G564" s="91"/>
    </row>
    <row r="565" ht="15.75" customHeight="1">
      <c r="E565" s="91"/>
      <c r="G565" s="91"/>
    </row>
    <row r="566" ht="15.75" customHeight="1">
      <c r="E566" s="91"/>
      <c r="G566" s="91"/>
    </row>
    <row r="567" ht="15.75" customHeight="1">
      <c r="E567" s="91"/>
      <c r="G567" s="91"/>
    </row>
    <row r="568" ht="15.75" customHeight="1">
      <c r="E568" s="91"/>
      <c r="G568" s="91"/>
    </row>
    <row r="569" ht="15.75" customHeight="1">
      <c r="E569" s="91"/>
      <c r="G569" s="91"/>
    </row>
    <row r="570" ht="15.75" customHeight="1">
      <c r="E570" s="91"/>
      <c r="G570" s="91"/>
    </row>
    <row r="571" ht="15.75" customHeight="1">
      <c r="E571" s="91"/>
      <c r="G571" s="91"/>
    </row>
    <row r="572" ht="15.75" customHeight="1">
      <c r="E572" s="91"/>
      <c r="G572" s="91"/>
    </row>
    <row r="573" ht="15.75" customHeight="1">
      <c r="E573" s="91"/>
      <c r="G573" s="91"/>
    </row>
    <row r="574" ht="15.75" customHeight="1">
      <c r="E574" s="91"/>
      <c r="G574" s="91"/>
    </row>
    <row r="575" ht="15.75" customHeight="1">
      <c r="E575" s="91"/>
      <c r="G575" s="91"/>
    </row>
    <row r="576" ht="15.75" customHeight="1">
      <c r="E576" s="91"/>
      <c r="G576" s="91"/>
    </row>
    <row r="577" ht="15.75" customHeight="1">
      <c r="E577" s="91"/>
      <c r="G577" s="91"/>
    </row>
    <row r="578" ht="15.75" customHeight="1">
      <c r="E578" s="91"/>
      <c r="G578" s="91"/>
    </row>
    <row r="579" ht="15.75" customHeight="1">
      <c r="E579" s="91"/>
      <c r="G579" s="91"/>
    </row>
    <row r="580" ht="15.75" customHeight="1">
      <c r="E580" s="91"/>
      <c r="G580" s="91"/>
    </row>
    <row r="581" ht="15.75" customHeight="1">
      <c r="E581" s="91"/>
      <c r="G581" s="91"/>
    </row>
    <row r="582" ht="15.75" customHeight="1">
      <c r="E582" s="91"/>
      <c r="G582" s="91"/>
    </row>
    <row r="583" ht="15.75" customHeight="1">
      <c r="E583" s="91"/>
      <c r="G583" s="91"/>
    </row>
    <row r="584" ht="15.75" customHeight="1">
      <c r="E584" s="91"/>
      <c r="G584" s="91"/>
    </row>
    <row r="585" ht="15.75" customHeight="1">
      <c r="E585" s="91"/>
      <c r="G585" s="91"/>
    </row>
    <row r="586" ht="15.75" customHeight="1">
      <c r="E586" s="91"/>
      <c r="G586" s="91"/>
    </row>
    <row r="587" ht="15.75" customHeight="1">
      <c r="E587" s="91"/>
      <c r="G587" s="91"/>
    </row>
    <row r="588" ht="15.75" customHeight="1">
      <c r="E588" s="91"/>
      <c r="G588" s="91"/>
    </row>
    <row r="589" ht="15.75" customHeight="1">
      <c r="E589" s="91"/>
      <c r="G589" s="91"/>
    </row>
    <row r="590" ht="15.75" customHeight="1">
      <c r="E590" s="91"/>
      <c r="G590" s="91"/>
    </row>
    <row r="591" ht="15.75" customHeight="1">
      <c r="E591" s="91"/>
      <c r="G591" s="91"/>
    </row>
    <row r="592" ht="15.75" customHeight="1">
      <c r="E592" s="91"/>
      <c r="G592" s="91"/>
    </row>
    <row r="593" ht="15.75" customHeight="1">
      <c r="E593" s="91"/>
      <c r="G593" s="91"/>
    </row>
    <row r="594" ht="15.75" customHeight="1">
      <c r="E594" s="91"/>
      <c r="G594" s="91"/>
    </row>
    <row r="595" ht="15.75" customHeight="1">
      <c r="E595" s="91"/>
      <c r="G595" s="91"/>
    </row>
    <row r="596" ht="15.75" customHeight="1">
      <c r="E596" s="91"/>
      <c r="G596" s="91"/>
    </row>
    <row r="597" ht="15.75" customHeight="1">
      <c r="E597" s="91"/>
      <c r="G597" s="91"/>
    </row>
    <row r="598" ht="15.75" customHeight="1">
      <c r="E598" s="91"/>
      <c r="G598" s="91"/>
    </row>
    <row r="599" ht="15.75" customHeight="1">
      <c r="E599" s="91"/>
      <c r="G599" s="91"/>
    </row>
    <row r="600" ht="15.75" customHeight="1">
      <c r="E600" s="91"/>
      <c r="G600" s="91"/>
    </row>
    <row r="601" ht="15.75" customHeight="1">
      <c r="E601" s="91"/>
      <c r="G601" s="91"/>
    </row>
    <row r="602" ht="15.75" customHeight="1">
      <c r="E602" s="91"/>
      <c r="G602" s="91"/>
    </row>
    <row r="603" ht="15.75" customHeight="1">
      <c r="E603" s="91"/>
      <c r="G603" s="91"/>
    </row>
    <row r="604" ht="15.75" customHeight="1">
      <c r="E604" s="91"/>
      <c r="G604" s="91"/>
    </row>
    <row r="605" ht="15.75" customHeight="1">
      <c r="E605" s="91"/>
      <c r="G605" s="91"/>
    </row>
    <row r="606" ht="15.75" customHeight="1">
      <c r="E606" s="91"/>
      <c r="G606" s="91"/>
    </row>
    <row r="607" ht="15.75" customHeight="1">
      <c r="E607" s="91"/>
      <c r="G607" s="91"/>
    </row>
    <row r="608" ht="15.75" customHeight="1">
      <c r="E608" s="91"/>
      <c r="G608" s="91"/>
    </row>
    <row r="609" ht="15.75" customHeight="1">
      <c r="E609" s="91"/>
      <c r="G609" s="91"/>
    </row>
    <row r="610" ht="15.75" customHeight="1">
      <c r="E610" s="91"/>
      <c r="G610" s="91"/>
    </row>
    <row r="611" ht="15.75" customHeight="1">
      <c r="E611" s="91"/>
      <c r="G611" s="91"/>
    </row>
    <row r="612" ht="15.75" customHeight="1">
      <c r="E612" s="91"/>
      <c r="G612" s="91"/>
    </row>
    <row r="613" ht="15.75" customHeight="1">
      <c r="E613" s="91"/>
      <c r="G613" s="91"/>
    </row>
    <row r="614" ht="15.75" customHeight="1">
      <c r="E614" s="91"/>
      <c r="G614" s="91"/>
    </row>
    <row r="615" ht="15.75" customHeight="1">
      <c r="E615" s="91"/>
      <c r="G615" s="91"/>
    </row>
    <row r="616" ht="15.75" customHeight="1">
      <c r="E616" s="91"/>
      <c r="G616" s="91"/>
    </row>
    <row r="617" ht="15.75" customHeight="1">
      <c r="E617" s="91"/>
      <c r="G617" s="91"/>
    </row>
    <row r="618" ht="15.75" customHeight="1">
      <c r="E618" s="91"/>
      <c r="G618" s="91"/>
    </row>
    <row r="619" ht="15.75" customHeight="1">
      <c r="E619" s="91"/>
      <c r="G619" s="91"/>
    </row>
    <row r="620" ht="15.75" customHeight="1">
      <c r="E620" s="91"/>
      <c r="G620" s="91"/>
    </row>
    <row r="621" ht="15.75" customHeight="1">
      <c r="E621" s="91"/>
      <c r="G621" s="91"/>
    </row>
    <row r="622" ht="15.75" customHeight="1">
      <c r="E622" s="91"/>
      <c r="G622" s="91"/>
    </row>
    <row r="623" ht="15.75" customHeight="1">
      <c r="E623" s="91"/>
      <c r="G623" s="91"/>
    </row>
    <row r="624" ht="15.75" customHeight="1">
      <c r="E624" s="91"/>
      <c r="G624" s="91"/>
    </row>
    <row r="625" ht="15.75" customHeight="1">
      <c r="E625" s="91"/>
      <c r="G625" s="91"/>
    </row>
    <row r="626" ht="15.75" customHeight="1">
      <c r="E626" s="91"/>
      <c r="G626" s="91"/>
    </row>
    <row r="627" ht="15.75" customHeight="1">
      <c r="E627" s="91"/>
      <c r="G627" s="91"/>
    </row>
    <row r="628" ht="15.75" customHeight="1">
      <c r="E628" s="91"/>
      <c r="G628" s="91"/>
    </row>
    <row r="629" ht="15.75" customHeight="1">
      <c r="E629" s="91"/>
      <c r="G629" s="91"/>
    </row>
    <row r="630" ht="15.75" customHeight="1">
      <c r="E630" s="91"/>
      <c r="G630" s="91"/>
    </row>
    <row r="631" ht="15.75" customHeight="1">
      <c r="E631" s="91"/>
      <c r="G631" s="91"/>
    </row>
    <row r="632" ht="15.75" customHeight="1">
      <c r="E632" s="91"/>
      <c r="G632" s="91"/>
    </row>
    <row r="633" ht="15.75" customHeight="1">
      <c r="E633" s="91"/>
      <c r="G633" s="91"/>
    </row>
    <row r="634" ht="15.75" customHeight="1">
      <c r="E634" s="91"/>
      <c r="G634" s="91"/>
    </row>
    <row r="635" ht="15.75" customHeight="1">
      <c r="E635" s="91"/>
      <c r="G635" s="91"/>
    </row>
    <row r="636" ht="15.75" customHeight="1">
      <c r="E636" s="91"/>
      <c r="G636" s="91"/>
    </row>
    <row r="637" ht="15.75" customHeight="1">
      <c r="E637" s="91"/>
      <c r="G637" s="91"/>
    </row>
    <row r="638" ht="15.75" customHeight="1">
      <c r="E638" s="91"/>
      <c r="G638" s="91"/>
    </row>
    <row r="639" ht="15.75" customHeight="1">
      <c r="E639" s="91"/>
      <c r="G639" s="91"/>
    </row>
    <row r="640" ht="15.75" customHeight="1">
      <c r="E640" s="91"/>
      <c r="G640" s="91"/>
    </row>
    <row r="641" ht="15.75" customHeight="1">
      <c r="E641" s="91"/>
      <c r="G641" s="91"/>
    </row>
    <row r="642" ht="15.75" customHeight="1">
      <c r="E642" s="91"/>
      <c r="G642" s="91"/>
    </row>
    <row r="643" ht="15.75" customHeight="1">
      <c r="E643" s="91"/>
      <c r="G643" s="91"/>
    </row>
    <row r="644" ht="15.75" customHeight="1">
      <c r="E644" s="91"/>
      <c r="G644" s="91"/>
    </row>
    <row r="645" ht="15.75" customHeight="1">
      <c r="E645" s="91"/>
      <c r="G645" s="91"/>
    </row>
    <row r="646" ht="15.75" customHeight="1">
      <c r="E646" s="91"/>
      <c r="G646" s="91"/>
    </row>
    <row r="647" ht="15.75" customHeight="1">
      <c r="E647" s="91"/>
      <c r="G647" s="91"/>
    </row>
    <row r="648" ht="15.75" customHeight="1">
      <c r="E648" s="91"/>
      <c r="G648" s="91"/>
    </row>
    <row r="649" ht="15.75" customHeight="1">
      <c r="E649" s="91"/>
      <c r="G649" s="91"/>
    </row>
    <row r="650" ht="15.75" customHeight="1">
      <c r="E650" s="91"/>
      <c r="G650" s="91"/>
    </row>
    <row r="651" ht="15.75" customHeight="1">
      <c r="E651" s="91"/>
      <c r="G651" s="91"/>
    </row>
    <row r="652" ht="15.75" customHeight="1">
      <c r="E652" s="91"/>
      <c r="G652" s="91"/>
    </row>
    <row r="653" ht="15.75" customHeight="1">
      <c r="E653" s="91"/>
      <c r="G653" s="91"/>
    </row>
    <row r="654" ht="15.75" customHeight="1">
      <c r="E654" s="91"/>
      <c r="G654" s="91"/>
    </row>
    <row r="655" ht="15.75" customHeight="1">
      <c r="E655" s="91"/>
      <c r="G655" s="91"/>
    </row>
    <row r="656" ht="15.75" customHeight="1">
      <c r="E656" s="91"/>
      <c r="G656" s="91"/>
    </row>
    <row r="657" ht="15.75" customHeight="1">
      <c r="E657" s="91"/>
      <c r="G657" s="91"/>
    </row>
    <row r="658" ht="15.75" customHeight="1">
      <c r="E658" s="91"/>
      <c r="G658" s="91"/>
    </row>
    <row r="659" ht="15.75" customHeight="1">
      <c r="E659" s="91"/>
      <c r="G659" s="91"/>
    </row>
    <row r="660" ht="15.75" customHeight="1">
      <c r="E660" s="91"/>
      <c r="G660" s="91"/>
    </row>
    <row r="661" ht="15.75" customHeight="1">
      <c r="E661" s="91"/>
      <c r="G661" s="91"/>
    </row>
    <row r="662" ht="15.75" customHeight="1">
      <c r="E662" s="91"/>
      <c r="G662" s="91"/>
    </row>
    <row r="663" ht="15.75" customHeight="1">
      <c r="E663" s="91"/>
      <c r="G663" s="91"/>
    </row>
    <row r="664" ht="15.75" customHeight="1">
      <c r="E664" s="91"/>
      <c r="G664" s="91"/>
    </row>
    <row r="665" ht="15.75" customHeight="1">
      <c r="E665" s="91"/>
      <c r="G665" s="91"/>
    </row>
    <row r="666" ht="15.75" customHeight="1">
      <c r="E666" s="91"/>
      <c r="G666" s="91"/>
    </row>
    <row r="667" ht="15.75" customHeight="1">
      <c r="E667" s="91"/>
      <c r="G667" s="91"/>
    </row>
    <row r="668" ht="15.75" customHeight="1">
      <c r="E668" s="91"/>
      <c r="G668" s="91"/>
    </row>
    <row r="669" ht="15.75" customHeight="1">
      <c r="E669" s="91"/>
      <c r="G669" s="91"/>
    </row>
    <row r="670" ht="15.75" customHeight="1">
      <c r="E670" s="91"/>
      <c r="G670" s="91"/>
    </row>
    <row r="671" ht="15.75" customHeight="1">
      <c r="E671" s="91"/>
      <c r="G671" s="91"/>
    </row>
    <row r="672" ht="15.75" customHeight="1">
      <c r="E672" s="91"/>
      <c r="G672" s="91"/>
    </row>
    <row r="673" ht="15.75" customHeight="1">
      <c r="E673" s="91"/>
      <c r="G673" s="91"/>
    </row>
    <row r="674" ht="15.75" customHeight="1">
      <c r="E674" s="91"/>
      <c r="G674" s="91"/>
    </row>
    <row r="675" ht="15.75" customHeight="1">
      <c r="E675" s="91"/>
      <c r="G675" s="91"/>
    </row>
    <row r="676" ht="15.75" customHeight="1">
      <c r="E676" s="91"/>
      <c r="G676" s="91"/>
    </row>
    <row r="677" ht="15.75" customHeight="1">
      <c r="E677" s="91"/>
      <c r="G677" s="91"/>
    </row>
    <row r="678" ht="15.75" customHeight="1">
      <c r="E678" s="91"/>
      <c r="G678" s="91"/>
    </row>
    <row r="679" ht="15.75" customHeight="1">
      <c r="E679" s="91"/>
      <c r="G679" s="91"/>
    </row>
    <row r="680" ht="15.75" customHeight="1">
      <c r="E680" s="91"/>
      <c r="G680" s="91"/>
    </row>
    <row r="681" ht="15.75" customHeight="1">
      <c r="E681" s="91"/>
      <c r="G681" s="91"/>
    </row>
    <row r="682" ht="15.75" customHeight="1">
      <c r="E682" s="91"/>
      <c r="G682" s="91"/>
    </row>
    <row r="683" ht="15.75" customHeight="1">
      <c r="E683" s="91"/>
      <c r="G683" s="91"/>
    </row>
    <row r="684" ht="15.75" customHeight="1">
      <c r="E684" s="91"/>
      <c r="G684" s="91"/>
    </row>
    <row r="685" ht="15.75" customHeight="1">
      <c r="E685" s="91"/>
      <c r="G685" s="91"/>
    </row>
    <row r="686" ht="15.75" customHeight="1">
      <c r="E686" s="91"/>
      <c r="G686" s="91"/>
    </row>
    <row r="687" ht="15.75" customHeight="1">
      <c r="E687" s="91"/>
      <c r="G687" s="91"/>
    </row>
    <row r="688" ht="15.75" customHeight="1">
      <c r="E688" s="91"/>
      <c r="G688" s="91"/>
    </row>
    <row r="689" ht="15.75" customHeight="1">
      <c r="E689" s="91"/>
      <c r="G689" s="91"/>
    </row>
    <row r="690" ht="15.75" customHeight="1">
      <c r="E690" s="91"/>
      <c r="G690" s="91"/>
    </row>
    <row r="691" ht="15.75" customHeight="1">
      <c r="E691" s="91"/>
      <c r="G691" s="91"/>
    </row>
    <row r="692" ht="15.75" customHeight="1">
      <c r="E692" s="91"/>
      <c r="G692" s="91"/>
    </row>
    <row r="693" ht="15.75" customHeight="1">
      <c r="E693" s="91"/>
      <c r="G693" s="91"/>
    </row>
    <row r="694" ht="15.75" customHeight="1">
      <c r="E694" s="91"/>
      <c r="G694" s="91"/>
    </row>
    <row r="695" ht="15.75" customHeight="1">
      <c r="E695" s="91"/>
      <c r="G695" s="91"/>
    </row>
    <row r="696" ht="15.75" customHeight="1">
      <c r="E696" s="91"/>
      <c r="G696" s="91"/>
    </row>
    <row r="697" ht="15.75" customHeight="1">
      <c r="E697" s="91"/>
      <c r="G697" s="91"/>
    </row>
    <row r="698" ht="15.75" customHeight="1">
      <c r="E698" s="91"/>
      <c r="G698" s="91"/>
    </row>
    <row r="699" ht="15.75" customHeight="1">
      <c r="E699" s="91"/>
      <c r="G699" s="91"/>
    </row>
    <row r="700" ht="15.75" customHeight="1">
      <c r="E700" s="91"/>
      <c r="G700" s="91"/>
    </row>
    <row r="701" ht="15.75" customHeight="1">
      <c r="E701" s="91"/>
      <c r="G701" s="91"/>
    </row>
    <row r="702" ht="15.75" customHeight="1">
      <c r="E702" s="91"/>
      <c r="G702" s="91"/>
    </row>
    <row r="703" ht="15.75" customHeight="1">
      <c r="E703" s="91"/>
      <c r="G703" s="91"/>
    </row>
    <row r="704" ht="15.75" customHeight="1">
      <c r="E704" s="91"/>
      <c r="G704" s="91"/>
    </row>
    <row r="705" ht="15.75" customHeight="1">
      <c r="E705" s="91"/>
      <c r="G705" s="91"/>
    </row>
    <row r="706" ht="15.75" customHeight="1">
      <c r="E706" s="91"/>
      <c r="G706" s="91"/>
    </row>
    <row r="707" ht="15.75" customHeight="1">
      <c r="E707" s="91"/>
      <c r="G707" s="91"/>
    </row>
    <row r="708" ht="15.75" customHeight="1">
      <c r="E708" s="91"/>
      <c r="G708" s="91"/>
    </row>
    <row r="709" ht="15.75" customHeight="1">
      <c r="E709" s="91"/>
      <c r="G709" s="91"/>
    </row>
    <row r="710" ht="15.75" customHeight="1">
      <c r="E710" s="91"/>
      <c r="G710" s="91"/>
    </row>
    <row r="711" ht="15.75" customHeight="1">
      <c r="E711" s="91"/>
      <c r="G711" s="91"/>
    </row>
    <row r="712" ht="15.75" customHeight="1">
      <c r="E712" s="91"/>
      <c r="G712" s="91"/>
    </row>
    <row r="713" ht="15.75" customHeight="1">
      <c r="E713" s="91"/>
      <c r="G713" s="91"/>
    </row>
    <row r="714" ht="15.75" customHeight="1">
      <c r="E714" s="91"/>
      <c r="G714" s="91"/>
    </row>
    <row r="715" ht="15.75" customHeight="1">
      <c r="E715" s="91"/>
      <c r="G715" s="91"/>
    </row>
    <row r="716" ht="15.75" customHeight="1">
      <c r="E716" s="91"/>
      <c r="G716" s="91"/>
    </row>
    <row r="717" ht="15.75" customHeight="1">
      <c r="E717" s="91"/>
      <c r="G717" s="91"/>
    </row>
    <row r="718" ht="15.75" customHeight="1">
      <c r="E718" s="91"/>
      <c r="G718" s="91"/>
    </row>
    <row r="719" ht="15.75" customHeight="1">
      <c r="E719" s="91"/>
      <c r="G719" s="91"/>
    </row>
    <row r="720" ht="15.75" customHeight="1">
      <c r="E720" s="91"/>
      <c r="G720" s="91"/>
    </row>
    <row r="721" ht="15.75" customHeight="1">
      <c r="E721" s="91"/>
      <c r="G721" s="91"/>
    </row>
    <row r="722" ht="15.75" customHeight="1">
      <c r="E722" s="91"/>
      <c r="G722" s="91"/>
    </row>
    <row r="723" ht="15.75" customHeight="1">
      <c r="E723" s="91"/>
      <c r="G723" s="91"/>
    </row>
    <row r="724" ht="15.75" customHeight="1">
      <c r="E724" s="91"/>
      <c r="G724" s="91"/>
    </row>
    <row r="725" ht="15.75" customHeight="1">
      <c r="E725" s="91"/>
      <c r="G725" s="91"/>
    </row>
    <row r="726" ht="15.75" customHeight="1">
      <c r="E726" s="91"/>
      <c r="G726" s="91"/>
    </row>
    <row r="727" ht="15.75" customHeight="1">
      <c r="E727" s="91"/>
      <c r="G727" s="91"/>
    </row>
    <row r="728" ht="15.75" customHeight="1">
      <c r="E728" s="91"/>
      <c r="G728" s="91"/>
    </row>
    <row r="729" ht="15.75" customHeight="1">
      <c r="E729" s="91"/>
      <c r="G729" s="91"/>
    </row>
    <row r="730" ht="15.75" customHeight="1">
      <c r="E730" s="91"/>
      <c r="G730" s="91"/>
    </row>
    <row r="731" ht="15.75" customHeight="1">
      <c r="E731" s="91"/>
      <c r="G731" s="91"/>
    </row>
    <row r="732" ht="15.75" customHeight="1">
      <c r="E732" s="91"/>
      <c r="G732" s="91"/>
    </row>
    <row r="733" ht="15.75" customHeight="1">
      <c r="E733" s="91"/>
      <c r="G733" s="91"/>
    </row>
    <row r="734" ht="15.75" customHeight="1">
      <c r="E734" s="91"/>
      <c r="G734" s="91"/>
    </row>
    <row r="735" ht="15.75" customHeight="1">
      <c r="E735" s="91"/>
      <c r="G735" s="91"/>
    </row>
    <row r="736" ht="15.75" customHeight="1">
      <c r="E736" s="91"/>
      <c r="G736" s="91"/>
    </row>
    <row r="737" ht="15.75" customHeight="1">
      <c r="E737" s="91"/>
      <c r="G737" s="91"/>
    </row>
    <row r="738" ht="15.75" customHeight="1">
      <c r="E738" s="91"/>
      <c r="G738" s="91"/>
    </row>
    <row r="739" ht="15.75" customHeight="1">
      <c r="E739" s="91"/>
      <c r="G739" s="91"/>
    </row>
    <row r="740" ht="15.75" customHeight="1">
      <c r="E740" s="91"/>
      <c r="G740" s="91"/>
    </row>
    <row r="741" ht="15.75" customHeight="1">
      <c r="E741" s="91"/>
      <c r="G741" s="91"/>
    </row>
    <row r="742" ht="15.75" customHeight="1">
      <c r="E742" s="91"/>
      <c r="G742" s="91"/>
    </row>
    <row r="743" ht="15.75" customHeight="1">
      <c r="E743" s="91"/>
      <c r="G743" s="91"/>
    </row>
    <row r="744" ht="15.75" customHeight="1">
      <c r="E744" s="91"/>
      <c r="G744" s="91"/>
    </row>
    <row r="745" ht="15.75" customHeight="1">
      <c r="E745" s="91"/>
      <c r="G745" s="91"/>
    </row>
    <row r="746" ht="15.75" customHeight="1">
      <c r="E746" s="91"/>
      <c r="G746" s="91"/>
    </row>
    <row r="747" ht="15.75" customHeight="1">
      <c r="E747" s="91"/>
      <c r="G747" s="91"/>
    </row>
    <row r="748" ht="15.75" customHeight="1">
      <c r="E748" s="91"/>
      <c r="G748" s="91"/>
    </row>
    <row r="749" ht="15.75" customHeight="1">
      <c r="E749" s="91"/>
      <c r="G749" s="91"/>
    </row>
    <row r="750" ht="15.75" customHeight="1">
      <c r="E750" s="91"/>
      <c r="G750" s="91"/>
    </row>
    <row r="751" ht="15.75" customHeight="1">
      <c r="E751" s="91"/>
      <c r="G751" s="91"/>
    </row>
    <row r="752" ht="15.75" customHeight="1">
      <c r="E752" s="91"/>
      <c r="G752" s="91"/>
    </row>
    <row r="753" ht="15.75" customHeight="1">
      <c r="E753" s="91"/>
      <c r="G753" s="91"/>
    </row>
    <row r="754" ht="15.75" customHeight="1">
      <c r="E754" s="91"/>
      <c r="G754" s="91"/>
    </row>
    <row r="755" ht="15.75" customHeight="1">
      <c r="E755" s="91"/>
      <c r="G755" s="91"/>
    </row>
    <row r="756" ht="15.75" customHeight="1">
      <c r="E756" s="91"/>
      <c r="G756" s="91"/>
    </row>
    <row r="757" ht="15.75" customHeight="1">
      <c r="E757" s="91"/>
      <c r="G757" s="91"/>
    </row>
    <row r="758" ht="15.75" customHeight="1">
      <c r="E758" s="91"/>
      <c r="G758" s="91"/>
    </row>
    <row r="759" ht="15.75" customHeight="1">
      <c r="E759" s="91"/>
      <c r="G759" s="91"/>
    </row>
    <row r="760" ht="15.75" customHeight="1">
      <c r="E760" s="91"/>
      <c r="G760" s="91"/>
    </row>
    <row r="761" ht="15.75" customHeight="1">
      <c r="E761" s="91"/>
      <c r="G761" s="91"/>
    </row>
    <row r="762" ht="15.75" customHeight="1">
      <c r="E762" s="91"/>
      <c r="G762" s="91"/>
    </row>
    <row r="763" ht="15.75" customHeight="1">
      <c r="E763" s="91"/>
      <c r="G763" s="91"/>
    </row>
    <row r="764" ht="15.75" customHeight="1">
      <c r="E764" s="91"/>
      <c r="G764" s="91"/>
    </row>
    <row r="765" ht="15.75" customHeight="1">
      <c r="E765" s="91"/>
      <c r="G765" s="91"/>
    </row>
    <row r="766" ht="15.75" customHeight="1">
      <c r="E766" s="91"/>
      <c r="G766" s="91"/>
    </row>
    <row r="767" ht="15.75" customHeight="1">
      <c r="E767" s="91"/>
      <c r="G767" s="91"/>
    </row>
    <row r="768" ht="15.75" customHeight="1">
      <c r="E768" s="91"/>
      <c r="G768" s="91"/>
    </row>
    <row r="769" ht="15.75" customHeight="1">
      <c r="E769" s="91"/>
      <c r="G769" s="91"/>
    </row>
    <row r="770" ht="15.75" customHeight="1">
      <c r="E770" s="91"/>
      <c r="G770" s="91"/>
    </row>
    <row r="771" ht="15.75" customHeight="1">
      <c r="E771" s="91"/>
      <c r="G771" s="91"/>
    </row>
    <row r="772" ht="15.75" customHeight="1">
      <c r="E772" s="91"/>
      <c r="G772" s="91"/>
    </row>
    <row r="773" ht="15.75" customHeight="1">
      <c r="E773" s="91"/>
      <c r="G773" s="91"/>
    </row>
    <row r="774" ht="15.75" customHeight="1">
      <c r="E774" s="91"/>
      <c r="G774" s="91"/>
    </row>
    <row r="775" ht="15.75" customHeight="1">
      <c r="E775" s="91"/>
      <c r="G775" s="91"/>
    </row>
    <row r="776" ht="15.75" customHeight="1">
      <c r="E776" s="91"/>
      <c r="G776" s="91"/>
    </row>
    <row r="777" ht="15.75" customHeight="1">
      <c r="E777" s="91"/>
      <c r="G777" s="91"/>
    </row>
    <row r="778" ht="15.75" customHeight="1">
      <c r="E778" s="91"/>
      <c r="G778" s="91"/>
    </row>
    <row r="779" ht="15.75" customHeight="1">
      <c r="E779" s="91"/>
      <c r="G779" s="91"/>
    </row>
    <row r="780" ht="15.75" customHeight="1">
      <c r="E780" s="91"/>
      <c r="G780" s="91"/>
    </row>
    <row r="781" ht="15.75" customHeight="1">
      <c r="E781" s="91"/>
      <c r="G781" s="91"/>
    </row>
    <row r="782" ht="15.75" customHeight="1">
      <c r="E782" s="91"/>
      <c r="G782" s="91"/>
    </row>
    <row r="783" ht="15.75" customHeight="1">
      <c r="E783" s="91"/>
      <c r="G783" s="91"/>
    </row>
    <row r="784" ht="15.75" customHeight="1">
      <c r="E784" s="91"/>
      <c r="G784" s="91"/>
    </row>
    <row r="785" ht="15.75" customHeight="1">
      <c r="E785" s="91"/>
      <c r="G785" s="91"/>
    </row>
    <row r="786" ht="15.75" customHeight="1">
      <c r="E786" s="91"/>
      <c r="G786" s="91"/>
    </row>
    <row r="787" ht="15.75" customHeight="1">
      <c r="E787" s="91"/>
      <c r="G787" s="91"/>
    </row>
    <row r="788" ht="15.75" customHeight="1">
      <c r="E788" s="91"/>
      <c r="G788" s="91"/>
    </row>
    <row r="789" ht="15.75" customHeight="1">
      <c r="E789" s="91"/>
      <c r="G789" s="91"/>
    </row>
    <row r="790" ht="15.75" customHeight="1">
      <c r="E790" s="91"/>
      <c r="G790" s="91"/>
    </row>
    <row r="791" ht="15.75" customHeight="1">
      <c r="E791" s="91"/>
      <c r="G791" s="91"/>
    </row>
    <row r="792" ht="15.75" customHeight="1">
      <c r="E792" s="91"/>
      <c r="G792" s="91"/>
    </row>
    <row r="793" ht="15.75" customHeight="1">
      <c r="E793" s="91"/>
      <c r="G793" s="91"/>
    </row>
    <row r="794" ht="15.75" customHeight="1">
      <c r="E794" s="91"/>
      <c r="G794" s="91"/>
    </row>
    <row r="795" ht="15.75" customHeight="1">
      <c r="E795" s="91"/>
      <c r="G795" s="91"/>
    </row>
    <row r="796" ht="15.75" customHeight="1">
      <c r="E796" s="91"/>
      <c r="G796" s="91"/>
    </row>
    <row r="797" ht="15.75" customHeight="1">
      <c r="E797" s="91"/>
      <c r="G797" s="91"/>
    </row>
    <row r="798" ht="15.75" customHeight="1">
      <c r="E798" s="91"/>
      <c r="G798" s="91"/>
    </row>
    <row r="799" ht="15.75" customHeight="1">
      <c r="E799" s="91"/>
      <c r="G799" s="91"/>
    </row>
    <row r="800" ht="15.75" customHeight="1">
      <c r="E800" s="91"/>
      <c r="G800" s="91"/>
    </row>
    <row r="801" ht="15.75" customHeight="1">
      <c r="E801" s="91"/>
      <c r="G801" s="91"/>
    </row>
    <row r="802" ht="15.75" customHeight="1">
      <c r="E802" s="91"/>
      <c r="G802" s="91"/>
    </row>
    <row r="803" ht="15.75" customHeight="1">
      <c r="E803" s="91"/>
      <c r="G803" s="91"/>
    </row>
    <row r="804" ht="15.75" customHeight="1">
      <c r="E804" s="91"/>
      <c r="G804" s="91"/>
    </row>
    <row r="805" ht="15.75" customHeight="1">
      <c r="E805" s="91"/>
      <c r="G805" s="91"/>
    </row>
    <row r="806" ht="15.75" customHeight="1">
      <c r="E806" s="91"/>
      <c r="G806" s="91"/>
    </row>
    <row r="807" ht="15.75" customHeight="1">
      <c r="E807" s="91"/>
      <c r="G807" s="91"/>
    </row>
    <row r="808" ht="15.75" customHeight="1">
      <c r="E808" s="91"/>
      <c r="G808" s="91"/>
    </row>
    <row r="809" ht="15.75" customHeight="1">
      <c r="E809" s="91"/>
      <c r="G809" s="91"/>
    </row>
    <row r="810" ht="15.75" customHeight="1">
      <c r="E810" s="91"/>
      <c r="G810" s="91"/>
    </row>
    <row r="811" ht="15.75" customHeight="1">
      <c r="E811" s="91"/>
      <c r="G811" s="91"/>
    </row>
    <row r="812" ht="15.75" customHeight="1">
      <c r="E812" s="91"/>
      <c r="G812" s="91"/>
    </row>
    <row r="813" ht="15.75" customHeight="1">
      <c r="E813" s="91"/>
      <c r="G813" s="91"/>
    </row>
    <row r="814" ht="15.75" customHeight="1">
      <c r="E814" s="91"/>
      <c r="G814" s="91"/>
    </row>
    <row r="815" ht="15.75" customHeight="1">
      <c r="E815" s="91"/>
      <c r="G815" s="91"/>
    </row>
    <row r="816" ht="15.75" customHeight="1">
      <c r="E816" s="91"/>
      <c r="G816" s="91"/>
    </row>
    <row r="817" ht="15.75" customHeight="1">
      <c r="E817" s="91"/>
      <c r="G817" s="91"/>
    </row>
    <row r="818" ht="15.75" customHeight="1">
      <c r="E818" s="91"/>
      <c r="G818" s="91"/>
    </row>
    <row r="819" ht="15.75" customHeight="1">
      <c r="E819" s="91"/>
      <c r="G819" s="91"/>
    </row>
    <row r="820" ht="15.75" customHeight="1">
      <c r="E820" s="91"/>
      <c r="G820" s="91"/>
    </row>
    <row r="821" ht="15.75" customHeight="1">
      <c r="E821" s="91"/>
      <c r="G821" s="91"/>
    </row>
    <row r="822" ht="15.75" customHeight="1">
      <c r="E822" s="91"/>
      <c r="G822" s="91"/>
    </row>
    <row r="823" ht="15.75" customHeight="1">
      <c r="E823" s="91"/>
      <c r="G823" s="91"/>
    </row>
    <row r="824" ht="15.75" customHeight="1">
      <c r="E824" s="91"/>
      <c r="G824" s="91"/>
    </row>
    <row r="825" ht="15.75" customHeight="1">
      <c r="E825" s="91"/>
      <c r="G825" s="91"/>
    </row>
    <row r="826" ht="15.75" customHeight="1">
      <c r="E826" s="91"/>
      <c r="G826" s="91"/>
    </row>
    <row r="827" ht="15.75" customHeight="1">
      <c r="E827" s="91"/>
      <c r="G827" s="91"/>
    </row>
    <row r="828" ht="15.75" customHeight="1">
      <c r="E828" s="91"/>
      <c r="G828" s="91"/>
    </row>
    <row r="829" ht="15.75" customHeight="1">
      <c r="E829" s="91"/>
      <c r="G829" s="91"/>
    </row>
    <row r="830" ht="15.75" customHeight="1">
      <c r="E830" s="91"/>
      <c r="G830" s="91"/>
    </row>
    <row r="831" ht="15.75" customHeight="1">
      <c r="E831" s="91"/>
      <c r="G831" s="91"/>
    </row>
    <row r="832" ht="15.75" customHeight="1">
      <c r="E832" s="91"/>
      <c r="G832" s="91"/>
    </row>
    <row r="833" ht="15.75" customHeight="1">
      <c r="E833" s="91"/>
      <c r="G833" s="91"/>
    </row>
    <row r="834" ht="15.75" customHeight="1">
      <c r="E834" s="91"/>
      <c r="G834" s="91"/>
    </row>
    <row r="835" ht="15.75" customHeight="1">
      <c r="E835" s="91"/>
      <c r="G835" s="91"/>
    </row>
    <row r="836" ht="15.75" customHeight="1">
      <c r="E836" s="91"/>
      <c r="G836" s="91"/>
    </row>
    <row r="837" ht="15.75" customHeight="1">
      <c r="E837" s="91"/>
      <c r="G837" s="91"/>
    </row>
    <row r="838" ht="15.75" customHeight="1">
      <c r="E838" s="91"/>
      <c r="G838" s="91"/>
    </row>
    <row r="839" ht="15.75" customHeight="1">
      <c r="E839" s="91"/>
      <c r="G839" s="91"/>
    </row>
    <row r="840" ht="15.75" customHeight="1">
      <c r="E840" s="91"/>
      <c r="G840" s="91"/>
    </row>
    <row r="841" ht="15.75" customHeight="1">
      <c r="E841" s="91"/>
      <c r="G841" s="91"/>
    </row>
    <row r="842" ht="15.75" customHeight="1">
      <c r="E842" s="91"/>
      <c r="G842" s="91"/>
    </row>
    <row r="843" ht="15.75" customHeight="1">
      <c r="E843" s="91"/>
      <c r="G843" s="91"/>
    </row>
    <row r="844" ht="15.75" customHeight="1">
      <c r="E844" s="91"/>
      <c r="G844" s="91"/>
    </row>
    <row r="845" ht="15.75" customHeight="1">
      <c r="E845" s="91"/>
      <c r="G845" s="91"/>
    </row>
    <row r="846" ht="15.75" customHeight="1">
      <c r="E846" s="91"/>
      <c r="G846" s="91"/>
    </row>
    <row r="847" ht="15.75" customHeight="1">
      <c r="E847" s="91"/>
      <c r="G847" s="91"/>
    </row>
    <row r="848" ht="15.75" customHeight="1">
      <c r="E848" s="91"/>
      <c r="G848" s="91"/>
    </row>
    <row r="849" ht="15.75" customHeight="1">
      <c r="E849" s="91"/>
      <c r="G849" s="91"/>
    </row>
    <row r="850" ht="15.75" customHeight="1">
      <c r="E850" s="91"/>
      <c r="G850" s="91"/>
    </row>
    <row r="851" ht="15.75" customHeight="1">
      <c r="E851" s="91"/>
      <c r="G851" s="91"/>
    </row>
    <row r="852" ht="15.75" customHeight="1">
      <c r="E852" s="91"/>
      <c r="G852" s="91"/>
    </row>
    <row r="853" ht="15.75" customHeight="1">
      <c r="E853" s="91"/>
      <c r="G853" s="91"/>
    </row>
    <row r="854" ht="15.75" customHeight="1">
      <c r="E854" s="91"/>
      <c r="G854" s="91"/>
    </row>
    <row r="855" ht="15.75" customHeight="1">
      <c r="E855" s="91"/>
      <c r="G855" s="91"/>
    </row>
    <row r="856" ht="15.75" customHeight="1">
      <c r="E856" s="91"/>
      <c r="G856" s="91"/>
    </row>
    <row r="857" ht="15.75" customHeight="1">
      <c r="E857" s="91"/>
      <c r="G857" s="91"/>
    </row>
    <row r="858" ht="15.75" customHeight="1">
      <c r="E858" s="91"/>
      <c r="G858" s="91"/>
    </row>
    <row r="859" ht="15.75" customHeight="1">
      <c r="E859" s="91"/>
      <c r="G859" s="91"/>
    </row>
    <row r="860" ht="15.75" customHeight="1">
      <c r="E860" s="91"/>
      <c r="G860" s="91"/>
    </row>
    <row r="861" ht="15.75" customHeight="1">
      <c r="E861" s="91"/>
      <c r="G861" s="91"/>
    </row>
    <row r="862" ht="15.75" customHeight="1">
      <c r="E862" s="91"/>
      <c r="G862" s="91"/>
    </row>
    <row r="863" ht="15.75" customHeight="1">
      <c r="E863" s="91"/>
      <c r="G863" s="91"/>
    </row>
    <row r="864" ht="15.75" customHeight="1">
      <c r="E864" s="91"/>
      <c r="G864" s="91"/>
    </row>
    <row r="865" ht="15.75" customHeight="1">
      <c r="E865" s="91"/>
      <c r="G865" s="91"/>
    </row>
    <row r="866" ht="15.75" customHeight="1">
      <c r="E866" s="91"/>
      <c r="G866" s="91"/>
    </row>
    <row r="867" ht="15.75" customHeight="1">
      <c r="E867" s="91"/>
      <c r="G867" s="91"/>
    </row>
    <row r="868" ht="15.75" customHeight="1">
      <c r="E868" s="91"/>
      <c r="G868" s="91"/>
    </row>
    <row r="869" ht="15.75" customHeight="1">
      <c r="E869" s="91"/>
      <c r="G869" s="91"/>
    </row>
    <row r="870" ht="15.75" customHeight="1">
      <c r="E870" s="91"/>
      <c r="G870" s="91"/>
    </row>
    <row r="871" ht="15.75" customHeight="1">
      <c r="E871" s="91"/>
      <c r="G871" s="91"/>
    </row>
    <row r="872" ht="15.75" customHeight="1">
      <c r="E872" s="91"/>
      <c r="G872" s="91"/>
    </row>
    <row r="873" ht="15.75" customHeight="1">
      <c r="E873" s="91"/>
      <c r="G873" s="91"/>
    </row>
    <row r="874" ht="15.75" customHeight="1">
      <c r="E874" s="91"/>
      <c r="G874" s="91"/>
    </row>
    <row r="875" ht="15.75" customHeight="1">
      <c r="E875" s="91"/>
      <c r="G875" s="91"/>
    </row>
    <row r="876" ht="15.75" customHeight="1">
      <c r="E876" s="91"/>
      <c r="G876" s="91"/>
    </row>
    <row r="877" ht="15.75" customHeight="1">
      <c r="E877" s="91"/>
      <c r="G877" s="91"/>
    </row>
    <row r="878" ht="15.75" customHeight="1">
      <c r="E878" s="91"/>
      <c r="G878" s="91"/>
    </row>
    <row r="879" ht="15.75" customHeight="1">
      <c r="E879" s="91"/>
      <c r="G879" s="91"/>
    </row>
    <row r="880" ht="15.75" customHeight="1">
      <c r="E880" s="91"/>
      <c r="G880" s="91"/>
    </row>
    <row r="881" ht="15.75" customHeight="1">
      <c r="E881" s="91"/>
      <c r="G881" s="91"/>
    </row>
    <row r="882" ht="15.75" customHeight="1">
      <c r="E882" s="91"/>
      <c r="G882" s="91"/>
    </row>
    <row r="883" ht="15.75" customHeight="1">
      <c r="E883" s="91"/>
      <c r="G883" s="91"/>
    </row>
    <row r="884" ht="15.75" customHeight="1">
      <c r="E884" s="91"/>
      <c r="G884" s="91"/>
    </row>
    <row r="885" ht="15.75" customHeight="1">
      <c r="E885" s="91"/>
      <c r="G885" s="91"/>
    </row>
    <row r="886" ht="15.75" customHeight="1">
      <c r="E886" s="91"/>
      <c r="G886" s="91"/>
    </row>
    <row r="887" ht="15.75" customHeight="1">
      <c r="E887" s="91"/>
      <c r="G887" s="91"/>
    </row>
    <row r="888" ht="15.75" customHeight="1">
      <c r="E888" s="91"/>
      <c r="G888" s="91"/>
    </row>
    <row r="889" ht="15.75" customHeight="1">
      <c r="E889" s="91"/>
      <c r="G889" s="91"/>
    </row>
    <row r="890" ht="15.75" customHeight="1">
      <c r="E890" s="91"/>
      <c r="G890" s="91"/>
    </row>
    <row r="891" ht="15.75" customHeight="1">
      <c r="E891" s="91"/>
      <c r="G891" s="91"/>
    </row>
    <row r="892" ht="15.75" customHeight="1">
      <c r="E892" s="91"/>
      <c r="G892" s="91"/>
    </row>
    <row r="893" ht="15.75" customHeight="1">
      <c r="E893" s="91"/>
      <c r="G893" s="91"/>
    </row>
    <row r="894" ht="15.75" customHeight="1">
      <c r="E894" s="91"/>
      <c r="G894" s="91"/>
    </row>
    <row r="895" ht="15.75" customHeight="1">
      <c r="E895" s="91"/>
      <c r="G895" s="91"/>
    </row>
    <row r="896" ht="15.75" customHeight="1">
      <c r="E896" s="91"/>
      <c r="G896" s="91"/>
    </row>
    <row r="897" ht="15.75" customHeight="1">
      <c r="E897" s="91"/>
      <c r="G897" s="91"/>
    </row>
    <row r="898" ht="15.75" customHeight="1">
      <c r="E898" s="91"/>
      <c r="G898" s="91"/>
    </row>
    <row r="899" ht="15.75" customHeight="1">
      <c r="E899" s="91"/>
      <c r="G899" s="91"/>
    </row>
    <row r="900" ht="15.75" customHeight="1">
      <c r="E900" s="91"/>
      <c r="G900" s="91"/>
    </row>
    <row r="901" ht="15.75" customHeight="1">
      <c r="E901" s="91"/>
      <c r="G901" s="91"/>
    </row>
    <row r="902" ht="15.75" customHeight="1">
      <c r="E902" s="91"/>
      <c r="G902" s="91"/>
    </row>
    <row r="903" ht="15.75" customHeight="1">
      <c r="E903" s="91"/>
      <c r="G903" s="91"/>
    </row>
    <row r="904" ht="15.75" customHeight="1">
      <c r="E904" s="91"/>
      <c r="G904" s="91"/>
    </row>
    <row r="905" ht="15.75" customHeight="1">
      <c r="E905" s="91"/>
      <c r="G905" s="91"/>
    </row>
    <row r="906" ht="15.75" customHeight="1">
      <c r="E906" s="91"/>
      <c r="G906" s="91"/>
    </row>
    <row r="907" ht="15.75" customHeight="1">
      <c r="E907" s="91"/>
      <c r="G907" s="91"/>
    </row>
    <row r="908" ht="15.75" customHeight="1">
      <c r="E908" s="91"/>
      <c r="G908" s="91"/>
    </row>
    <row r="909" ht="15.75" customHeight="1">
      <c r="E909" s="91"/>
      <c r="G909" s="91"/>
    </row>
    <row r="910" ht="15.75" customHeight="1">
      <c r="E910" s="91"/>
      <c r="G910" s="91"/>
    </row>
    <row r="911" ht="15.75" customHeight="1">
      <c r="E911" s="91"/>
      <c r="G911" s="91"/>
    </row>
    <row r="912" ht="15.75" customHeight="1">
      <c r="E912" s="91"/>
      <c r="G912" s="91"/>
    </row>
    <row r="913" ht="15.75" customHeight="1">
      <c r="E913" s="91"/>
      <c r="G913" s="91"/>
    </row>
    <row r="914" ht="15.75" customHeight="1">
      <c r="E914" s="91"/>
      <c r="G914" s="91"/>
    </row>
    <row r="915" ht="15.75" customHeight="1">
      <c r="E915" s="91"/>
      <c r="G915" s="91"/>
    </row>
    <row r="916" ht="15.75" customHeight="1">
      <c r="E916" s="91"/>
      <c r="G916" s="91"/>
    </row>
    <row r="917" ht="15.75" customHeight="1">
      <c r="E917" s="91"/>
      <c r="G917" s="91"/>
    </row>
    <row r="918" ht="15.75" customHeight="1">
      <c r="E918" s="91"/>
      <c r="G918" s="91"/>
    </row>
    <row r="919" ht="15.75" customHeight="1">
      <c r="E919" s="91"/>
      <c r="G919" s="91"/>
    </row>
    <row r="920" ht="15.75" customHeight="1">
      <c r="E920" s="91"/>
      <c r="G920" s="91"/>
    </row>
    <row r="921" ht="15.75" customHeight="1">
      <c r="E921" s="91"/>
      <c r="G921" s="91"/>
    </row>
    <row r="922" ht="15.75" customHeight="1">
      <c r="E922" s="91"/>
      <c r="G922" s="91"/>
    </row>
    <row r="923" ht="15.75" customHeight="1">
      <c r="E923" s="91"/>
      <c r="G923" s="91"/>
    </row>
    <row r="924" ht="15.75" customHeight="1">
      <c r="E924" s="91"/>
      <c r="G924" s="91"/>
    </row>
    <row r="925" ht="15.75" customHeight="1">
      <c r="E925" s="91"/>
      <c r="G925" s="91"/>
    </row>
    <row r="926" ht="15.75" customHeight="1">
      <c r="E926" s="91"/>
      <c r="G926" s="91"/>
    </row>
    <row r="927" ht="15.75" customHeight="1">
      <c r="E927" s="91"/>
      <c r="G927" s="91"/>
    </row>
    <row r="928" ht="15.75" customHeight="1">
      <c r="E928" s="91"/>
      <c r="G928" s="91"/>
    </row>
    <row r="929" ht="15.75" customHeight="1">
      <c r="E929" s="91"/>
      <c r="G929" s="91"/>
    </row>
    <row r="930" ht="15.75" customHeight="1">
      <c r="E930" s="91"/>
      <c r="G930" s="91"/>
    </row>
    <row r="931" ht="15.75" customHeight="1">
      <c r="E931" s="91"/>
      <c r="G931" s="91"/>
    </row>
    <row r="932" ht="15.75" customHeight="1">
      <c r="E932" s="91"/>
      <c r="G932" s="91"/>
    </row>
    <row r="933" ht="15.75" customHeight="1">
      <c r="E933" s="91"/>
      <c r="G933" s="91"/>
    </row>
    <row r="934" ht="15.75" customHeight="1">
      <c r="E934" s="91"/>
      <c r="G934" s="91"/>
    </row>
    <row r="935" ht="15.75" customHeight="1">
      <c r="E935" s="91"/>
      <c r="G935" s="91"/>
    </row>
    <row r="936" ht="15.75" customHeight="1">
      <c r="E936" s="91"/>
      <c r="G936" s="91"/>
    </row>
    <row r="937" ht="15.75" customHeight="1">
      <c r="E937" s="91"/>
      <c r="G937" s="91"/>
    </row>
    <row r="938" ht="15.75" customHeight="1">
      <c r="E938" s="91"/>
      <c r="G938" s="91"/>
    </row>
    <row r="939" ht="15.75" customHeight="1">
      <c r="E939" s="91"/>
      <c r="G939" s="91"/>
    </row>
    <row r="940" ht="15.75" customHeight="1">
      <c r="E940" s="91"/>
      <c r="G940" s="91"/>
    </row>
    <row r="941" ht="15.75" customHeight="1">
      <c r="E941" s="91"/>
      <c r="G941" s="91"/>
    </row>
    <row r="942" ht="15.75" customHeight="1">
      <c r="E942" s="91"/>
      <c r="G942" s="91"/>
    </row>
    <row r="943" ht="15.75" customHeight="1">
      <c r="E943" s="91"/>
      <c r="G943" s="91"/>
    </row>
    <row r="944" ht="15.75" customHeight="1">
      <c r="E944" s="91"/>
      <c r="G944" s="91"/>
    </row>
    <row r="945" ht="15.75" customHeight="1">
      <c r="E945" s="91"/>
      <c r="G945" s="91"/>
    </row>
    <row r="946" ht="15.75" customHeight="1">
      <c r="E946" s="91"/>
      <c r="G946" s="91"/>
    </row>
    <row r="947" ht="15.75" customHeight="1">
      <c r="E947" s="91"/>
      <c r="G947" s="91"/>
    </row>
    <row r="948" ht="15.75" customHeight="1">
      <c r="E948" s="91"/>
      <c r="G948" s="91"/>
    </row>
    <row r="949" ht="15.75" customHeight="1">
      <c r="E949" s="91"/>
      <c r="G949" s="91"/>
    </row>
    <row r="950" ht="15.75" customHeight="1">
      <c r="E950" s="91"/>
      <c r="G950" s="91"/>
    </row>
    <row r="951" ht="15.75" customHeight="1">
      <c r="E951" s="91"/>
      <c r="G951" s="91"/>
    </row>
    <row r="952" ht="15.75" customHeight="1">
      <c r="E952" s="91"/>
      <c r="G952" s="91"/>
    </row>
    <row r="953" ht="15.75" customHeight="1">
      <c r="E953" s="91"/>
      <c r="G953" s="91"/>
    </row>
    <row r="954" ht="15.75" customHeight="1">
      <c r="E954" s="91"/>
      <c r="G954" s="91"/>
    </row>
    <row r="955" ht="15.75" customHeight="1">
      <c r="E955" s="91"/>
      <c r="G955" s="91"/>
    </row>
    <row r="956" ht="15.75" customHeight="1">
      <c r="E956" s="91"/>
      <c r="G956" s="91"/>
    </row>
    <row r="957" ht="15.75" customHeight="1">
      <c r="E957" s="91"/>
      <c r="G957" s="91"/>
    </row>
    <row r="958" ht="15.75" customHeight="1">
      <c r="E958" s="91"/>
      <c r="G958" s="91"/>
    </row>
    <row r="959" ht="15.75" customHeight="1">
      <c r="E959" s="91"/>
      <c r="G959" s="91"/>
    </row>
    <row r="960" ht="15.75" customHeight="1">
      <c r="E960" s="91"/>
      <c r="G960" s="91"/>
    </row>
    <row r="961" ht="15.75" customHeight="1">
      <c r="E961" s="91"/>
      <c r="G961" s="91"/>
    </row>
    <row r="962" ht="15.75" customHeight="1">
      <c r="E962" s="91"/>
      <c r="G962" s="91"/>
    </row>
    <row r="963" ht="15.75" customHeight="1">
      <c r="E963" s="91"/>
      <c r="G963" s="91"/>
    </row>
    <row r="964" ht="15.75" customHeight="1">
      <c r="E964" s="91"/>
      <c r="G964" s="91"/>
    </row>
    <row r="965" ht="15.75" customHeight="1">
      <c r="E965" s="91"/>
      <c r="G965" s="91"/>
    </row>
    <row r="966" ht="15.75" customHeight="1">
      <c r="E966" s="91"/>
      <c r="G966" s="91"/>
    </row>
    <row r="967" ht="15.75" customHeight="1">
      <c r="E967" s="91"/>
      <c r="G967" s="91"/>
    </row>
    <row r="968" ht="15.75" customHeight="1">
      <c r="E968" s="91"/>
      <c r="G968" s="91"/>
    </row>
    <row r="969" ht="15.75" customHeight="1">
      <c r="E969" s="91"/>
      <c r="G969" s="91"/>
    </row>
    <row r="970" ht="15.75" customHeight="1">
      <c r="E970" s="91"/>
      <c r="G970" s="91"/>
    </row>
    <row r="971" ht="15.75" customHeight="1">
      <c r="E971" s="91"/>
      <c r="G971" s="91"/>
    </row>
    <row r="972" ht="15.75" customHeight="1">
      <c r="E972" s="91"/>
      <c r="G972" s="91"/>
    </row>
    <row r="973" ht="15.75" customHeight="1">
      <c r="E973" s="91"/>
      <c r="G973" s="91"/>
    </row>
    <row r="974" ht="15.75" customHeight="1">
      <c r="E974" s="91"/>
      <c r="G974" s="91"/>
    </row>
    <row r="975" ht="15.75" customHeight="1">
      <c r="E975" s="91"/>
      <c r="G975" s="91"/>
    </row>
    <row r="976" ht="15.75" customHeight="1">
      <c r="E976" s="91"/>
      <c r="G976" s="91"/>
    </row>
    <row r="977" ht="15.75" customHeight="1">
      <c r="E977" s="91"/>
      <c r="G977" s="91"/>
    </row>
    <row r="978" ht="15.75" customHeight="1">
      <c r="E978" s="91"/>
      <c r="G978" s="91"/>
    </row>
    <row r="979" ht="15.75" customHeight="1">
      <c r="E979" s="91"/>
      <c r="G979" s="91"/>
    </row>
    <row r="980" ht="15.75" customHeight="1">
      <c r="E980" s="91"/>
      <c r="G980" s="91"/>
    </row>
    <row r="981" ht="15.75" customHeight="1">
      <c r="E981" s="91"/>
      <c r="G981" s="91"/>
    </row>
    <row r="982" ht="15.75" customHeight="1">
      <c r="E982" s="91"/>
      <c r="G982" s="91"/>
    </row>
    <row r="983" ht="15.75" customHeight="1">
      <c r="E983" s="91"/>
      <c r="G983" s="91"/>
    </row>
    <row r="984" ht="15.75" customHeight="1">
      <c r="E984" s="91"/>
      <c r="G984" s="91"/>
    </row>
    <row r="985" ht="15.75" customHeight="1">
      <c r="E985" s="91"/>
      <c r="G985" s="91"/>
    </row>
    <row r="986" ht="15.75" customHeight="1">
      <c r="E986" s="91"/>
      <c r="G986" s="91"/>
    </row>
    <row r="987" ht="15.75" customHeight="1">
      <c r="E987" s="91"/>
      <c r="G987" s="91"/>
    </row>
    <row r="988" ht="15.75" customHeight="1">
      <c r="E988" s="91"/>
      <c r="G988" s="91"/>
    </row>
    <row r="989" ht="15.75" customHeight="1">
      <c r="E989" s="91"/>
      <c r="G989" s="91"/>
    </row>
    <row r="990" ht="15.75" customHeight="1">
      <c r="E990" s="91"/>
      <c r="G990" s="91"/>
    </row>
    <row r="991" ht="15.75" customHeight="1">
      <c r="E991" s="91"/>
      <c r="G991" s="91"/>
    </row>
    <row r="992" ht="15.75" customHeight="1">
      <c r="E992" s="91"/>
      <c r="G992" s="91"/>
    </row>
    <row r="993" ht="15.75" customHeight="1">
      <c r="E993" s="91"/>
      <c r="G993" s="91"/>
    </row>
    <row r="994" ht="15.75" customHeight="1">
      <c r="E994" s="91"/>
      <c r="G994" s="91"/>
    </row>
    <row r="995" ht="15.75" customHeight="1">
      <c r="E995" s="91"/>
      <c r="G995" s="91"/>
    </row>
    <row r="996" ht="15.75" customHeight="1">
      <c r="E996" s="91"/>
      <c r="G996" s="91"/>
    </row>
    <row r="997" ht="15.75" customHeight="1">
      <c r="E997" s="91"/>
      <c r="G997" s="91"/>
    </row>
    <row r="998" ht="15.75" customHeight="1">
      <c r="E998" s="91"/>
      <c r="G998" s="91"/>
    </row>
    <row r="999" ht="15.75" customHeight="1">
      <c r="E999" s="91"/>
      <c r="G999" s="91"/>
    </row>
    <row r="1000" ht="15.75" customHeight="1">
      <c r="E1000" s="91"/>
      <c r="G1000" s="91"/>
    </row>
    <row r="1001" ht="15.75" customHeight="1">
      <c r="E1001" s="91"/>
      <c r="G1001" s="91"/>
    </row>
    <row r="1002" ht="15.75" customHeight="1">
      <c r="E1002" s="91"/>
      <c r="G1002" s="91"/>
    </row>
    <row r="1003" ht="15.75" customHeight="1">
      <c r="E1003" s="91"/>
      <c r="G1003" s="91"/>
    </row>
    <row r="1004" ht="15.75" customHeight="1">
      <c r="E1004" s="91"/>
      <c r="G1004" s="91"/>
    </row>
    <row r="1005" ht="15.75" customHeight="1">
      <c r="E1005" s="91"/>
      <c r="G1005" s="91"/>
    </row>
    <row r="1006" ht="15.75" customHeight="1">
      <c r="E1006" s="91"/>
      <c r="G1006" s="91"/>
    </row>
    <row r="1007" ht="15.75" customHeight="1">
      <c r="E1007" s="91"/>
      <c r="G1007" s="91"/>
    </row>
    <row r="1008" ht="15.75" customHeight="1">
      <c r="E1008" s="91"/>
      <c r="G1008" s="91"/>
    </row>
    <row r="1009" ht="15.75" customHeight="1">
      <c r="E1009" s="91"/>
      <c r="G1009" s="91"/>
    </row>
    <row r="1010" ht="15.75" customHeight="1">
      <c r="E1010" s="91"/>
      <c r="G1010" s="91"/>
    </row>
  </sheetData>
  <mergeCells count="6">
    <mergeCell ref="A1:C1"/>
    <mergeCell ref="A11:C11"/>
    <mergeCell ref="A25:C25"/>
    <mergeCell ref="A49:C49"/>
    <mergeCell ref="A59:C59"/>
    <mergeCell ref="A65:C65"/>
  </mergeCells>
  <hyperlinks>
    <hyperlink r:id="rId1" ref="C23"/>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55</v>
      </c>
    </row>
    <row r="4">
      <c r="A4" s="84" t="s">
        <v>706</v>
      </c>
      <c r="B4" s="85" t="s">
        <v>22</v>
      </c>
      <c r="C4" s="86" t="str">
        <f t="array" ref="C4">IFERROR(INDEX('Use Case Library'!B:T,MATCH(C2,'Use Case Library'!B:B,0),4),"")</f>
        <v>Unauthorized Person in Danger Zone</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Detects a human figure entering a designated danger zone or downrange area while the (live/simulated) range is in operation. Could be a range worker, lost individual, or animal false positive.</v>
      </c>
    </row>
    <row r="13">
      <c r="A13" s="81"/>
      <c r="B13" s="85" t="s">
        <v>24</v>
      </c>
      <c r="C13" s="86" t="str">
        <f t="array" ref="C13">IFERROR(INDEX('Use Case Library'!B:T,MATCH(C2,'Use Case Library'!B:B,0),6),"")</f>
        <v>Prevent any person from being in the impact area or danger zone during (live/simulated) fire.</v>
      </c>
    </row>
    <row r="14">
      <c r="A14" s="81"/>
      <c r="B14" s="85" t="s">
        <v>25</v>
      </c>
      <c r="C14" s="86" t="str">
        <f t="array" ref="C14">IFERROR(INDEX('Use Case Library'!B:T,MATCH(C2,'Use Case Library'!B:B,0),7),"")</f>
        <v>Person detection (human body classifier) + geofenced zone overlay on camera feed + range status integration (hot/cold).
Focus on both day and night modes.</v>
      </c>
    </row>
    <row r="15">
      <c r="A15" s="81"/>
      <c r="B15" s="85" t="s">
        <v>26</v>
      </c>
      <c r="C15" s="86" t="str">
        <f t="array" ref="C15">IFERROR(INDEX('Use Case Library'!B:T,MATCH(C2,'Use Case Library'!B:B,0),8),"")</f>
        <v>1) Detection confidence score
2) Time from zone entry (seen on camera) to alert (latency)
3) False positive rate (animals, shadows, vegetation)
4) Distance from nearest active firing point</v>
      </c>
    </row>
    <row r="16">
      <c r="A16" s="81"/>
      <c r="B16" s="85" t="s">
        <v>27</v>
      </c>
      <c r="C16" s="86" t="str">
        <f t="array" ref="C16">IFERROR(INDEX('Use Case Library'!B:T,MATCH(C2,'Use Case Library'!B:B,0),9),"")</f>
        <v>Immediate range-wide ceasefire recommendation with location overlay and camera feed to range control.
By default: If no external system integration is needed, it will then route the notification and alert to Accel.</v>
      </c>
    </row>
    <row r="17">
      <c r="A17" s="81"/>
      <c r="B17" s="85" t="s">
        <v>28</v>
      </c>
      <c r="C17" s="86" t="str">
        <f t="array" ref="C17">IFERROR(INDEX('Use Case Library'!B:T,MATCH(C2,'Use Case Library'!B:B,0),10),"")</f>
        <v>Physical sentries and range guards with binoculars - limited visibility, fatigue, no night capability.</v>
      </c>
    </row>
    <row r="18">
      <c r="A18" s="81"/>
      <c r="B18" s="85" t="s">
        <v>709</v>
      </c>
      <c r="C18" s="86" t="str">
        <f t="array" ref="C18">IFERROR(INDEX('Use Case Library'!B:T,MATCH(C2,'Use Case Library'!B:B,0),11),"")</f>
        <v>- Animal intrusion triggering false alert
- Heat shimmer / mirage causing phantom detections
- Authorised range party in zone during brief ceasefire windows
- Person partially occluded by terrain</v>
      </c>
    </row>
    <row r="19">
      <c r="A19" s="81"/>
      <c r="B19" s="85" t="s">
        <v>33</v>
      </c>
      <c r="C19" s="86" t="str">
        <f t="array" ref="C19">IFERROR(INDEX('Use Case Library'!B:T,MATCH(C2,'Use Case Library'!B:B,0),15),"")</f>
        <v>UC-006, UC-027</v>
      </c>
    </row>
    <row r="20">
      <c r="A20" s="81"/>
      <c r="B20" s="85" t="s">
        <v>710</v>
      </c>
      <c r="C20" s="86" t="str">
        <f t="array" ref="C20">IFERROR(INDEX('Use Case Library'!B:T,MATCH(C2,'Use Case Library'!B:B,0),14),"")</f>
        <v>Unauthorized Person in Danger Zone
IF human detected in geofenced danger zone AND range status = HOT → immediate CEASEFIRE RECOMMENDATION to range control. 
IF confidence &lt; 0.7 → flag for human verification before ceasefire call. 
IF entity classified as animal → LOG, no ceasefire. 
IF range status = COLD → LOG as administrative entry, no alert.</v>
      </c>
    </row>
    <row r="21">
      <c r="A21" s="81"/>
      <c r="B21" s="85" t="s">
        <v>36</v>
      </c>
      <c r="C21" s="86" t="str">
        <f t="array" ref="C21">IFERROR(INDEX('Use Case Library'!B:T,MATCH(C2,'Use Case Library'!B:B,0),17),"")</f>
        <v>Visual Only</v>
      </c>
    </row>
    <row r="22">
      <c r="A22" s="87" t="s">
        <v>711</v>
      </c>
      <c r="B22" s="79"/>
      <c r="C22" s="80"/>
    </row>
    <row r="23">
      <c r="A23" s="81"/>
      <c r="B23" s="85" t="s">
        <v>712</v>
      </c>
      <c r="C23" s="13" t="s">
        <v>812</v>
      </c>
    </row>
    <row r="24">
      <c r="A24" s="81"/>
      <c r="B24" s="85" t="s">
        <v>714</v>
      </c>
      <c r="C24" s="13" t="s">
        <v>813</v>
      </c>
    </row>
    <row r="25">
      <c r="A25" s="81"/>
      <c r="B25" s="85" t="s">
        <v>716</v>
      </c>
      <c r="C25" s="13" t="s">
        <v>814</v>
      </c>
    </row>
    <row r="26">
      <c r="A26" s="81"/>
      <c r="B26" s="85" t="s">
        <v>718</v>
      </c>
      <c r="C26" s="13" t="s">
        <v>815</v>
      </c>
    </row>
    <row r="27">
      <c r="A27" s="81"/>
      <c r="B27" s="85" t="s">
        <v>720</v>
      </c>
      <c r="C27" s="13" t="s">
        <v>816</v>
      </c>
    </row>
    <row r="28">
      <c r="A28" s="81"/>
      <c r="B28" s="85" t="s">
        <v>722</v>
      </c>
      <c r="C28" s="13" t="s">
        <v>817</v>
      </c>
    </row>
    <row r="29">
      <c r="A29" s="81"/>
      <c r="B29" s="85" t="s">
        <v>724</v>
      </c>
      <c r="C29" s="13" t="s">
        <v>818</v>
      </c>
    </row>
    <row r="30">
      <c r="A30" s="84" t="s">
        <v>726</v>
      </c>
      <c r="B30" s="85" t="s">
        <v>727</v>
      </c>
      <c r="C30" s="13" t="s">
        <v>819</v>
      </c>
    </row>
    <row r="31">
      <c r="A31" s="81"/>
      <c r="B31" s="85" t="s">
        <v>729</v>
      </c>
      <c r="C31" s="13" t="s">
        <v>820</v>
      </c>
    </row>
    <row r="32">
      <c r="A32" s="81"/>
      <c r="B32" s="85" t="s">
        <v>731</v>
      </c>
      <c r="C32" s="13" t="s">
        <v>821</v>
      </c>
    </row>
    <row r="33">
      <c r="A33" s="84" t="s">
        <v>733</v>
      </c>
      <c r="B33" s="85" t="s">
        <v>734</v>
      </c>
      <c r="C33" s="13" t="s">
        <v>822</v>
      </c>
    </row>
    <row r="34">
      <c r="A34" s="81"/>
      <c r="B34" s="85" t="s">
        <v>735</v>
      </c>
      <c r="C34" s="13" t="s">
        <v>823</v>
      </c>
    </row>
    <row r="35">
      <c r="A35" s="81"/>
      <c r="B35" s="85" t="s">
        <v>736</v>
      </c>
      <c r="C35" s="13" t="s">
        <v>824</v>
      </c>
    </row>
    <row r="36">
      <c r="A36" s="81"/>
      <c r="B36" s="85" t="s">
        <v>735</v>
      </c>
      <c r="C36" s="13" t="s">
        <v>825</v>
      </c>
    </row>
    <row r="37">
      <c r="A37" s="81"/>
      <c r="B37" s="85" t="s">
        <v>737</v>
      </c>
      <c r="C37" s="13" t="s">
        <v>826</v>
      </c>
    </row>
    <row r="38">
      <c r="A38" s="81"/>
      <c r="B38" s="85" t="s">
        <v>735</v>
      </c>
      <c r="C38" s="13" t="s">
        <v>827</v>
      </c>
    </row>
    <row r="39">
      <c r="A39" s="81"/>
      <c r="B39" s="85" t="s">
        <v>738</v>
      </c>
      <c r="C39" s="13" t="s">
        <v>828</v>
      </c>
    </row>
    <row r="40">
      <c r="A40" s="81"/>
      <c r="B40" s="85" t="s">
        <v>735</v>
      </c>
      <c r="C40" s="13" t="s">
        <v>829</v>
      </c>
    </row>
    <row r="41" ht="27.75" customHeight="1">
      <c r="A41" s="88" t="s">
        <v>739</v>
      </c>
      <c r="B41" s="79"/>
      <c r="C41" s="80"/>
    </row>
    <row r="42">
      <c r="A42" s="81"/>
      <c r="B42" s="89" t="s">
        <v>740</v>
      </c>
      <c r="C42" s="13" t="s">
        <v>830</v>
      </c>
    </row>
    <row r="43">
      <c r="A43" s="81"/>
      <c r="B43" s="85" t="s">
        <v>741</v>
      </c>
      <c r="C43" s="13" t="s">
        <v>831</v>
      </c>
    </row>
    <row r="44">
      <c r="A44" s="81"/>
      <c r="B44" s="85" t="s">
        <v>742</v>
      </c>
      <c r="C44" s="13" t="s">
        <v>832</v>
      </c>
    </row>
    <row r="45">
      <c r="A45" s="81"/>
      <c r="B45" s="89" t="s">
        <v>743</v>
      </c>
      <c r="C45" s="13" t="s">
        <v>833</v>
      </c>
    </row>
    <row r="46">
      <c r="A46" s="81"/>
      <c r="B46" s="85" t="s">
        <v>741</v>
      </c>
      <c r="C46" s="13" t="s">
        <v>834</v>
      </c>
    </row>
    <row r="47">
      <c r="A47" s="81"/>
      <c r="B47" s="85" t="s">
        <v>742</v>
      </c>
      <c r="C47" s="13" t="s">
        <v>835</v>
      </c>
    </row>
    <row r="48">
      <c r="A48" s="81"/>
      <c r="B48" s="89" t="s">
        <v>744</v>
      </c>
      <c r="C48" s="13" t="s">
        <v>836</v>
      </c>
    </row>
    <row r="49">
      <c r="A49" s="81"/>
      <c r="B49" s="85" t="s">
        <v>741</v>
      </c>
      <c r="C49" s="13" t="s">
        <v>837</v>
      </c>
    </row>
    <row r="50">
      <c r="A50" s="81"/>
      <c r="B50" s="85" t="s">
        <v>742</v>
      </c>
      <c r="C50" s="13" t="s">
        <v>838</v>
      </c>
    </row>
    <row r="51" ht="30.0" customHeight="1">
      <c r="A51" s="84" t="s">
        <v>745</v>
      </c>
      <c r="B51" s="85" t="s">
        <v>746</v>
      </c>
      <c r="C51" s="12"/>
    </row>
    <row r="52">
      <c r="A52" s="81"/>
      <c r="B52" s="85" t="s">
        <v>747</v>
      </c>
      <c r="C52" s="12"/>
    </row>
    <row r="53">
      <c r="A53" s="81"/>
      <c r="B53" s="85" t="s">
        <v>748</v>
      </c>
      <c r="C53" s="13" t="s">
        <v>807</v>
      </c>
    </row>
    <row r="54">
      <c r="A54" s="81"/>
      <c r="B54" s="85" t="s">
        <v>749</v>
      </c>
      <c r="C54" s="96">
        <v>46133.0</v>
      </c>
    </row>
    <row r="55">
      <c r="A55" s="81"/>
      <c r="B55" s="85" t="s">
        <v>750</v>
      </c>
      <c r="C55" s="12" t="s">
        <v>751</v>
      </c>
    </row>
    <row r="56">
      <c r="A56" s="84" t="s">
        <v>752</v>
      </c>
      <c r="B56" s="85" t="s">
        <v>753</v>
      </c>
      <c r="C56" s="13" t="s">
        <v>839</v>
      </c>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55</v>
      </c>
    </row>
    <row r="4">
      <c r="A4" s="84" t="s">
        <v>706</v>
      </c>
      <c r="B4" s="85" t="s">
        <v>22</v>
      </c>
      <c r="C4" s="86" t="str">
        <f t="array" ref="C4">IFERROR(INDEX('Use Case Library'!B:T,MATCH(C2,'Use Case Library'!B:B,0),4),"")</f>
        <v>Unauthorized Person in Danger Zone</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Detects a human figure entering a designated danger zone or downrange area while the (live/simulated) range is in operation. Could be a range worker, lost individual, or animal false positive.</v>
      </c>
    </row>
    <row r="13">
      <c r="A13" s="81"/>
      <c r="B13" s="85" t="s">
        <v>24</v>
      </c>
      <c r="C13" s="86" t="str">
        <f t="array" ref="C13">IFERROR(INDEX('Use Case Library'!B:T,MATCH(C2,'Use Case Library'!B:B,0),6),"")</f>
        <v>Prevent any person from being in the impact area or danger zone during (live/simulated) fire.</v>
      </c>
    </row>
    <row r="14">
      <c r="A14" s="81"/>
      <c r="B14" s="85" t="s">
        <v>25</v>
      </c>
      <c r="C14" s="86" t="str">
        <f t="array" ref="C14">IFERROR(INDEX('Use Case Library'!B:T,MATCH(C2,'Use Case Library'!B:B,0),7),"")</f>
        <v>Person detection (human body classifier) + geofenced zone overlay on camera feed + range status integration (hot/cold).
Focus on both day and night modes.</v>
      </c>
    </row>
    <row r="15">
      <c r="A15" s="81"/>
      <c r="B15" s="85" t="s">
        <v>26</v>
      </c>
      <c r="C15" s="86" t="str">
        <f t="array" ref="C15">IFERROR(INDEX('Use Case Library'!B:T,MATCH(C2,'Use Case Library'!B:B,0),8),"")</f>
        <v>1) Detection confidence score
2) Time from zone entry (seen on camera) to alert (latency)
3) False positive rate (animals, shadows, vegetation)
4) Distance from nearest active firing point</v>
      </c>
    </row>
    <row r="16">
      <c r="A16" s="81"/>
      <c r="B16" s="85" t="s">
        <v>27</v>
      </c>
      <c r="C16" s="86" t="str">
        <f t="array" ref="C16">IFERROR(INDEX('Use Case Library'!B:T,MATCH(C2,'Use Case Library'!B:B,0),9),"")</f>
        <v>Immediate range-wide ceasefire recommendation with location overlay and camera feed to range control.
By default: If no external system integration is needed, it will then route the notification and alert to Accel.</v>
      </c>
    </row>
    <row r="17">
      <c r="A17" s="81"/>
      <c r="B17" s="85" t="s">
        <v>28</v>
      </c>
      <c r="C17" s="86" t="str">
        <f t="array" ref="C17">IFERROR(INDEX('Use Case Library'!B:T,MATCH(C2,'Use Case Library'!B:B,0),10),"")</f>
        <v>Physical sentries and range guards with binoculars - limited visibility, fatigue, no night capability.</v>
      </c>
    </row>
    <row r="18">
      <c r="A18" s="81"/>
      <c r="B18" s="85" t="s">
        <v>709</v>
      </c>
      <c r="C18" s="86" t="str">
        <f t="array" ref="C18">IFERROR(INDEX('Use Case Library'!B:T,MATCH(C2,'Use Case Library'!B:B,0),11),"")</f>
        <v>- Animal intrusion triggering false alert
- Heat shimmer / mirage causing phantom detections
- Authorised range party in zone during brief ceasefire windows
- Person partially occluded by terrain</v>
      </c>
    </row>
    <row r="19">
      <c r="A19" s="81"/>
      <c r="B19" s="85" t="s">
        <v>33</v>
      </c>
      <c r="C19" s="86" t="str">
        <f t="array" ref="C19">IFERROR(INDEX('Use Case Library'!B:T,MATCH(C2,'Use Case Library'!B:B,0),15),"")</f>
        <v>UC-006, UC-027</v>
      </c>
    </row>
    <row r="20">
      <c r="A20" s="81"/>
      <c r="B20" s="85" t="s">
        <v>710</v>
      </c>
      <c r="C20" s="86" t="str">
        <f t="array" ref="C20">IFERROR(INDEX('Use Case Library'!B:T,MATCH(C2,'Use Case Library'!B:B,0),14),"")</f>
        <v>Unauthorized Person in Danger Zone
IF human detected in geofenced danger zone AND range status = HOT → immediate CEASEFIRE RECOMMENDATION to range control. 
IF confidence &lt; 0.7 → flag for human verification before ceasefire call. 
IF entity classified as animal → LOG, no ceasefire. 
IF range status = COLD → LOG as administrative entry, no alert.</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3">
        <v>1.1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67</v>
      </c>
    </row>
    <row r="4">
      <c r="A4" s="84" t="s">
        <v>706</v>
      </c>
      <c r="B4" s="85" t="s">
        <v>22</v>
      </c>
      <c r="C4" s="86" t="str">
        <f t="array" ref="C4">IFERROR(INDEX('Use Case Library'!B:T,MATCH(C2,'Use Case Library'!B:B,0),4),"")</f>
        <v>Weapon Left Unattended Detection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P1 - High</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Detects a weapon stationary and not associated with any person in proximity - on ground, bench, or firing point with no one nearby - beyond a defined time threshold.</v>
      </c>
    </row>
    <row r="13">
      <c r="A13" s="81"/>
      <c r="B13" s="85" t="s">
        <v>24</v>
      </c>
      <c r="C13" s="86" t="str">
        <f t="array" ref="C13">IFERROR(INDEX('Use Case Library'!B:T,MATCH(C2,'Use Case Library'!B:B,0),6),"")</f>
        <v>No weapon should ever be left unsecured and unattended on a range.</v>
      </c>
    </row>
    <row r="14">
      <c r="A14" s="81"/>
      <c r="B14" s="85" t="s">
        <v>25</v>
      </c>
      <c r="C14" s="86" t="str">
        <f t="array" ref="C14">IFERROR(INDEX('Use Case Library'!B:T,MATCH(C2,'Use Case Library'!B:B,0),7),"")</f>
        <v>Weapon-shaped object detection + human proximity check within defined radius + time-based trigger (e.g., 30s with no person within 2m).
Focus on both day and night modes.</v>
      </c>
    </row>
    <row r="15">
      <c r="A15" s="81"/>
      <c r="B15" s="85" t="s">
        <v>26</v>
      </c>
      <c r="C15" s="86" t="str">
        <f t="array" ref="C15">IFERROR(INDEX('Use Case Library'!B:T,MATCH(C2,'Use Case Library'!B:B,0),8),"")</f>
        <v>1) Time weapon is unattended before detection
2) Distance to nearest person when flagged
3) Location context (firing point vs walkway vs rest area)
4) False positive rate (training props, weapon racks)</v>
      </c>
    </row>
    <row r="16">
      <c r="A16" s="81"/>
      <c r="B16" s="85" t="s">
        <v>27</v>
      </c>
      <c r="C16" s="86" t="str">
        <f t="array" ref="C16">IFERROR(INDEX('Use Case Library'!B:T,MATCH(C2,'Use Case Library'!B:B,0),9),"")</f>
        <v>Alert to nearest safety officer with weapon location, camera feed, and duration unattended.
By default: If no external system integration is needed, it will then route the notification and alert to Accel.</v>
      </c>
    </row>
    <row r="17">
      <c r="A17" s="81"/>
      <c r="B17" s="85" t="s">
        <v>28</v>
      </c>
      <c r="C17" s="86" t="str">
        <f t="array" ref="C17">IFERROR(INDEX('Use Case Library'!B:T,MATCH(C2,'Use Case Library'!B:B,0),10),"")</f>
        <v>Discovered during physical checks or when someone reports a found weapon.</v>
      </c>
    </row>
    <row r="18">
      <c r="A18" s="81"/>
      <c r="B18" s="85" t="s">
        <v>709</v>
      </c>
      <c r="C18" s="86" t="str">
        <f t="array" ref="C18">IFERROR(INDEX('Use Case Library'!B:T,MATCH(C2,'Use Case Library'!B:B,0),11),"")</f>
        <v>- Weapons deliberately placed in racks (authorised)
- Training props / dummy weapons
- Weapon placed down momentarily during drill change
- Partial occlusion (under bench, behind bag)</v>
      </c>
    </row>
    <row r="19">
      <c r="A19" s="81"/>
      <c r="B19" s="85" t="s">
        <v>33</v>
      </c>
      <c r="C19" s="86" t="str">
        <f t="array" ref="C19">IFERROR(INDEX('Use Case Library'!B:T,MATCH(C2,'Use Case Library'!B:B,0),15),"")</f>
        <v>UC-008</v>
      </c>
    </row>
    <row r="20">
      <c r="A20" s="81"/>
      <c r="B20" s="85" t="s">
        <v>710</v>
      </c>
      <c r="C20" s="86" t="str">
        <f t="array" ref="C20">IFERROR(INDEX('Use Case Library'!B:T,MATCH(C2,'Use Case Library'!B:B,0),14),"")</f>
        <v>Weapon Left Unattended
IF weapon detected with no person within 2m radius for &gt; 30s → ALERT to nearest safety officer. 
IF weapon is in designated rack/storage zone → suppress (authorised placement). 
IF weapon unattended &gt; 120s anywhere → escalate to URGENT. 
Reset timer when any person enters 2m radius.</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80</v>
      </c>
    </row>
    <row r="4">
      <c r="A4" s="84" t="s">
        <v>706</v>
      </c>
      <c r="B4" s="85" t="s">
        <v>22</v>
      </c>
      <c r="C4" s="86" t="str">
        <f t="array" ref="C4">IFERROR(INDEX('Use Case Library'!B:T,MATCH(C2,'Use Case Library'!B:B,0),4),"")</f>
        <v>Negligent / Accidental Discharge Detection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Detects weapon discharge outside designated firing window or when range status is ceasefire/safe. Must distinguish actual discharge from camera artifacts.</v>
      </c>
    </row>
    <row r="13">
      <c r="A13" s="81"/>
      <c r="B13" s="85" t="s">
        <v>24</v>
      </c>
      <c r="C13" s="86" t="str">
        <f t="array" ref="C13">IFERROR(INDEX('Use Case Library'!B:T,MATCH(C2,'Use Case Library'!B:B,0),6),"")</f>
        <v>Any unplanned discharge is a serious safety incident requiring immediate investigation.</v>
      </c>
    </row>
    <row r="14">
      <c r="A14" s="81"/>
      <c r="B14" s="85" t="s">
        <v>25</v>
      </c>
      <c r="C14" s="86" t="str">
        <f t="array" ref="C14">IFERROR(INDEX('Use Case Library'!B:T,MATCH(C2,'Use Case Library'!B:B,0),7),"")</f>
        <v>Muzzle flash detection (1-2 frames) + recoil signature + ACOUSTIC GUNSHOT DETECTION for confirmation. Visual alone insufficient in daylight.
Focus on both day and night modes. Necessary to consider audio cue from the live environment - adopt this as one of the primary verification layers.</v>
      </c>
    </row>
    <row r="15">
      <c r="A15" s="81"/>
      <c r="B15" s="85" t="s">
        <v>26</v>
      </c>
      <c r="C15" s="86" t="str">
        <f t="array" ref="C15">IFERROR(INDEX('Use Case Library'!B:T,MATCH(C2,'Use Case Library'!B:B,0),8),"")</f>
        <v>1) Detection confidence (visual-only vs audio-confirmed)
2) Exact timestamp and location
3) Range status at time of discharge
4) Direction of discharge relative to safe arc
5) Attribution: which position fired</v>
      </c>
    </row>
    <row r="16">
      <c r="A16" s="81"/>
      <c r="B16" s="85" t="s">
        <v>27</v>
      </c>
      <c r="C16" s="86" t="str">
        <f t="array" ref="C16">IFERROR(INDEX('Use Case Library'!B:T,MATCH(C2,'Use Case Library'!B:B,0),9),"")</f>
        <v>Immediate alert with multi-modal confirmation. Auto-log incident. Trigger ceasefire if range was supposed to be safe.
The placement location of audio receiver in this case is important. Ensure the audio cue received is clear - this case may need to define the sound decibel to gauge the distance apart.
By default: If no external system integration is needed, it will then route the notification and alert to Accel.</v>
      </c>
    </row>
    <row r="17">
      <c r="A17" s="81"/>
      <c r="B17" s="85" t="s">
        <v>28</v>
      </c>
      <c r="C17" s="86" t="str">
        <f t="array" ref="C17">IFERROR(INDEX('Use Case Library'!B:T,MATCH(C2,'Use Case Library'!B:B,0),10),"")</f>
        <v>Reported verbally by safety officers - delayed, sometimes missed in noisy environments.</v>
      </c>
    </row>
    <row r="18">
      <c r="A18" s="81"/>
      <c r="B18" s="85" t="s">
        <v>709</v>
      </c>
      <c r="C18" s="86" t="str">
        <f t="array" ref="C18">IFERROR(INDEX('Use Case Library'!B:T,MATCH(C2,'Use Case Library'!B:B,0),11),"")</f>
        <v>- Daylight muzzle flash nearly invisible on camera
- Blank rounds: flash but no recoil
- Reflected light / camera artifact mimics flash
- Suppressed weapons: minimal flash and report
- Multiple simultaneous discharges</v>
      </c>
    </row>
    <row r="19">
      <c r="A19" s="81"/>
      <c r="B19" s="85" t="s">
        <v>33</v>
      </c>
      <c r="C19" s="86" t="str">
        <f t="array" ref="C19">IFERROR(INDEX('Use Case Library'!B:T,MATCH(C2,'Use Case Library'!B:B,0),15),"")</f>
        <v>UC-008, UC-026</v>
      </c>
    </row>
    <row r="20">
      <c r="A20" s="81"/>
      <c r="B20" s="85" t="s">
        <v>710</v>
      </c>
      <c r="C20" s="86" t="str">
        <f t="array" ref="C20">IFERROR(INDEX('Use Case Library'!B:T,MATCH(C2,'Use Case Library'!B:B,0),14),"")</f>
        <v>Negligent / Accidental Discharge
IF acoustic gunshot detected AND range status ≠ HOT → CRITICAL ALERT + auto-log incident. 
IF acoustic detected AND range status = HOT but outside firing window → ALERT. 
IF visual muzzle flash only (no acoustic confirm) → flag as UNCONFIRMED, request human verification. 
Always capture ±10s multi-camera footage around event timestamp.</v>
      </c>
    </row>
    <row r="21">
      <c r="A21" s="81"/>
      <c r="B21" s="85" t="s">
        <v>36</v>
      </c>
      <c r="C21" s="86" t="str">
        <f t="array" ref="C21">IFERROR(INDEX('Use Case Library'!B:T,MATCH(C2,'Use Case Library'!B:B,0),17),"")</f>
        <v>Visual + Audio</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93</v>
      </c>
    </row>
    <row r="4">
      <c r="A4" s="84" t="s">
        <v>706</v>
      </c>
      <c r="B4" s="85" t="s">
        <v>22</v>
      </c>
      <c r="C4" s="86" t="str">
        <f t="array" ref="C4">IFERROR(INDEX('Use Case Library'!B:T,MATCH(C2,'Use Case Library'!B:B,0),4),"")</f>
        <v>Post-Firing Weapon Clearing Verification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After ceasefire, visually monitors each firer performing clearing drill - magazine removal, bolt lock, chamber inspection - flags skipped or incorrect steps.</v>
      </c>
    </row>
    <row r="13">
      <c r="A13" s="81"/>
      <c r="B13" s="85" t="s">
        <v>24</v>
      </c>
      <c r="C13" s="86" t="str">
        <f t="array" ref="C13">IFERROR(INDEX('Use Case Library'!B:T,MATCH(C2,'Use Case Library'!B:B,0),6),"")</f>
        <v>Verify every weapon is made safe before anyone moves from firing position.</v>
      </c>
    </row>
    <row r="14">
      <c r="A14" s="81"/>
      <c r="B14" s="85" t="s">
        <v>25</v>
      </c>
      <c r="C14" s="86" t="str">
        <f t="array" ref="C14">IFERROR(INDEX('Use Case Library'!B:T,MATCH(C2,'Use Case Library'!B:B,0),7),"")</f>
        <v>Action sequence recognition: detect magazine removal → bolt manipulation → chamber check → show-clear gesture.
Take note for night mode, where it can be dark, IR camera need to be considered.</v>
      </c>
    </row>
    <row r="15">
      <c r="A15" s="81"/>
      <c r="B15" s="85" t="s">
        <v>26</v>
      </c>
      <c r="C15" s="86" t="str">
        <f t="array" ref="C15">IFERROR(INDEX('Use Case Library'!B:T,MATCH(C2,'Use Case Library'!B:B,0),8),"")</f>
        <v>1) Clearing steps completed per individual
2) Steps skipped or out of order
3) Time from ceasefire to clearing complete
4) Individuals who walk away without clearing</v>
      </c>
    </row>
    <row r="16">
      <c r="A16" s="81"/>
      <c r="B16" s="85" t="s">
        <v>27</v>
      </c>
      <c r="C16" s="86" t="str">
        <f t="array" ref="C16">IFERROR(INDEX('Use Case Library'!B:T,MATCH(C2,'Use Case Library'!B:B,0),9),"")</f>
        <v>Checklist overlay per firing position. Flag incomplete clearings before range declared safe.
By default: If no external system integration is needed, it will then route the notification and alert to Accel.</v>
      </c>
    </row>
    <row r="17">
      <c r="A17" s="81"/>
      <c r="B17" s="85" t="s">
        <v>28</v>
      </c>
      <c r="C17" s="86" t="str">
        <f t="array" ref="C17">IFERROR(INDEX('Use Case Library'!B:T,MATCH(C2,'Use Case Library'!B:B,0),10),"")</f>
        <v>Safety officer walks the line - slow, can miss detail with many firers.</v>
      </c>
    </row>
    <row r="18">
      <c r="A18" s="81"/>
      <c r="B18" s="85" t="s">
        <v>709</v>
      </c>
      <c r="C18" s="86" t="str">
        <f t="array" ref="C18">IFERROR(INDEX('Use Case Library'!B:T,MATCH(C2,'Use Case Library'!B:B,0),11),"")</f>
        <v>- Belt-fed weapons have different clearing sequence
- Pistols cleared differently than long arms
- Body occludes weapon manipulation from certain angles
- Speed of manipulation hard to resolve at standard frame rates</v>
      </c>
    </row>
    <row r="19">
      <c r="A19" s="81"/>
      <c r="B19" s="85" t="s">
        <v>33</v>
      </c>
      <c r="C19" s="86" t="str">
        <f t="array" ref="C19">IFERROR(INDEX('Use Case Library'!B:T,MATCH(C2,'Use Case Library'!B:B,0),15),"")</f>
        <v>UC-008, UC-006</v>
      </c>
    </row>
    <row r="20">
      <c r="A20" s="81"/>
      <c r="B20" s="85" t="s">
        <v>710</v>
      </c>
      <c r="C20" s="86" t="str">
        <f t="array" ref="C20">IFERROR(INDEX('Use Case Library'!B:T,MATCH(C2,'Use Case Library'!B:B,0),14),"")</f>
        <v>Post-Firing Weapon Clearing Verification
On CEASEFIRE event, initiate per-position monitoring. 
FOR EACH firer: track clearing sequence [magazine remove → bolt lock → chamber check → show-clear]. 
IF any step skipped → FLAG position as INCOMPLETE. 
IF firer leaves position before all steps confirmed → URGENT ALERT. 
Range not declared SAFE until all positions show COMPLETE.</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105</v>
      </c>
    </row>
    <row r="4">
      <c r="A4" s="84" t="s">
        <v>706</v>
      </c>
      <c r="B4" s="85" t="s">
        <v>22</v>
      </c>
      <c r="C4" s="86" t="str">
        <f t="array" ref="C4">IFERROR(INDEX('Use Case Library'!B:T,MATCH(C2,'Use Case Library'!B:B,0),4),"")</f>
        <v>Personnel Count and Position Reconciliation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Continuously counts and maps all personnel against expected manifest. Detects: missing person, extra person, person in wrong position.</v>
      </c>
    </row>
    <row r="13">
      <c r="A13" s="81"/>
      <c r="B13" s="85" t="s">
        <v>24</v>
      </c>
      <c r="C13" s="86" t="str">
        <f t="array" ref="C13">IFERROR(INDEX('Use Case Library'!B:T,MATCH(C2,'Use Case Library'!B:B,0),6),"")</f>
        <v>Know where every person on the range is at all times.</v>
      </c>
    </row>
    <row r="14">
      <c r="A14" s="81"/>
      <c r="B14" s="85" t="s">
        <v>25</v>
      </c>
      <c r="C14" s="86" t="str">
        <f t="array" ref="C14">IFERROR(INDEX('Use Case Library'!B:T,MATCH(C2,'Use Case Library'!B:B,0),7),"")</f>
        <v>Multi-camera person detection + position mapping + manifest comparison.</v>
      </c>
    </row>
    <row r="15">
      <c r="A15" s="81"/>
      <c r="B15" s="85" t="s">
        <v>26</v>
      </c>
      <c r="C15" s="86" t="str">
        <f t="array" ref="C15">IFERROR(INDEX('Use Case Library'!B:T,MATCH(C2,'Use Case Library'!B:B,0),8),"")</f>
        <v>1) Count accuracy vs manifest
2) Position accuracy (correct lane/zone)
3) Time to detect discrepancy
4) Resilience to occlusion and grouping</v>
      </c>
    </row>
    <row r="16">
      <c r="A16" s="81"/>
      <c r="B16" s="85" t="s">
        <v>27</v>
      </c>
      <c r="C16" s="86" t="str">
        <f t="array" ref="C16">IFERROR(INDEX('Use Case Library'!B:T,MATCH(C2,'Use Case Library'!B:B,0),9),"")</f>
        <v>Real-time personnel map in range control. Instant alert on count mismatch or position deviation.
By default: If no external system integration is needed, it will then route the notification and alert to Accel.</v>
      </c>
    </row>
    <row r="17">
      <c r="A17" s="81"/>
      <c r="B17" s="85" t="s">
        <v>28</v>
      </c>
      <c r="C17" s="86" t="str">
        <f t="array" ref="C17">IFERROR(INDEX('Use Case Library'!B:T,MATCH(C2,'Use Case Library'!B:B,0),10),"")</f>
        <v>Manual headcount at start and end of serials - no continuous tracking.</v>
      </c>
    </row>
    <row r="18">
      <c r="A18" s="81"/>
      <c r="B18" s="85" t="s">
        <v>709</v>
      </c>
      <c r="C18" s="86" t="str">
        <f t="array" ref="C18">IFERROR(INDEX('Use Case Library'!B:T,MATCH(C2,'Use Case Library'!B:B,0),11),"")</f>
        <v>- Identical uniforms and gear
- Clustering makes count difficult
- Camera blind spots
- People entering/exiting buildings or vehicles</v>
      </c>
    </row>
    <row r="19">
      <c r="A19" s="81"/>
      <c r="B19" s="85" t="s">
        <v>33</v>
      </c>
      <c r="C19" s="86" t="str">
        <f t="array" ref="C19">IFERROR(INDEX('Use Case Library'!B:T,MATCH(C2,'Use Case Library'!B:B,0),15),"")</f>
        <v>UC-045, UC-035</v>
      </c>
    </row>
    <row r="20">
      <c r="A20" s="81"/>
      <c r="B20" s="85" t="s">
        <v>710</v>
      </c>
      <c r="C20" s="86" t="str">
        <f t="array" ref="C20">IFERROR(INDEX('Use Case Library'!B:T,MATCH(C2,'Use Case Library'!B:B,0),14),"")</f>
        <v>Personnel Count and Position Reconciliation
On exercise start, lock manifest count. Continuous count at 5s intervals. 
IF count &lt; manifest → MISSING PERSON alert (P0). 
IF count &gt; manifest → EXTRA PERSON alert. 
IF individual deviates &gt; 10m from assigned position → POSITION DEVIATION warning. 
Reconcile against UC-035 entry/exit log for discrepancy resolution.</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117</v>
      </c>
    </row>
    <row r="4">
      <c r="A4" s="84" t="s">
        <v>706</v>
      </c>
      <c r="B4" s="85" t="s">
        <v>22</v>
      </c>
      <c r="C4" s="86" t="str">
        <f t="array" ref="C4">IFERROR(INDEX('Use Case Library'!B:T,MATCH(C2,'Use Case Library'!B:B,0),4),"")</f>
        <v>Firing Line Breach Detection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Detects when any person moves forward of the firing line during live-fire serial. Even partial step counts.</v>
      </c>
    </row>
    <row r="13">
      <c r="A13" s="81"/>
      <c r="B13" s="85" t="s">
        <v>24</v>
      </c>
      <c r="C13" s="86" t="str">
        <f t="array" ref="C13">IFERROR(INDEX('Use Case Library'!B:T,MATCH(C2,'Use Case Library'!B:B,0),6),"")</f>
        <v>No person forward of the firing line while weapons are firing.</v>
      </c>
    </row>
    <row r="14">
      <c r="A14" s="81"/>
      <c r="B14" s="85" t="s">
        <v>25</v>
      </c>
      <c r="C14" s="86" t="str">
        <f t="array" ref="C14">IFERROR(INDEX('Use Case Library'!B:T,MATCH(C2,'Use Case Library'!B:B,0),7),"")</f>
        <v>Person detection + firing line boundary definition in camera frame. Track foot position relative to line.</v>
      </c>
    </row>
    <row r="15">
      <c r="A15" s="81"/>
      <c r="B15" s="85" t="s">
        <v>26</v>
      </c>
      <c r="C15" s="86" t="str">
        <f t="array" ref="C15">IFERROR(INDEX('Use Case Library'!B:T,MATCH(C2,'Use Case Library'!B:B,0),8),"")</f>
        <v>1) Detection latency from breach to alert
2) Severity: partial step vs full breach
3) Distance forward of line
4) False positive rate from parallax</v>
      </c>
    </row>
    <row r="16">
      <c r="A16" s="81"/>
      <c r="B16" s="85" t="s">
        <v>27</v>
      </c>
      <c r="C16" s="86" t="str">
        <f t="array" ref="C16">IFERROR(INDEX('Use Case Library'!B:T,MATCH(C2,'Use Case Library'!B:B,0),9),"")</f>
        <v>Immediate alert. Automatic ceasefire recommendation if breach exceeds threshold.
By default: If no external system integration is needed, it will then route the notification and alert to Accel.</v>
      </c>
    </row>
    <row r="17">
      <c r="A17" s="81"/>
      <c r="B17" s="85" t="s">
        <v>28</v>
      </c>
      <c r="C17" s="86" t="str">
        <f t="array" ref="C17">IFERROR(INDEX('Use Case Library'!B:T,MATCH(C2,'Use Case Library'!B:B,0),10),"")</f>
        <v>Range safety officer watches - can miss peripheral breaches.</v>
      </c>
    </row>
    <row r="18">
      <c r="A18" s="81"/>
      <c r="B18" s="85" t="s">
        <v>709</v>
      </c>
      <c r="C18" s="86" t="str">
        <f t="array" ref="C18">IFERROR(INDEX('Use Case Library'!B:T,MATCH(C2,'Use Case Library'!B:B,0),11),"")</f>
        <v>- Firing line not physically marked (field firing)
- Camera angle makes position ambiguous
- Person drops object forward and reaches
- Line changes between serials</v>
      </c>
    </row>
    <row r="19">
      <c r="A19" s="81"/>
      <c r="B19" s="85" t="s">
        <v>33</v>
      </c>
      <c r="C19" s="86" t="str">
        <f t="array" ref="C19">IFERROR(INDEX('Use Case Library'!B:T,MATCH(C2,'Use Case Library'!B:B,0),15),"")</f>
        <v>UC-006</v>
      </c>
    </row>
    <row r="20">
      <c r="A20" s="81"/>
      <c r="B20" s="85" t="s">
        <v>710</v>
      </c>
      <c r="C20" s="86" t="str">
        <f t="array" ref="C20">IFERROR(INDEX('Use Case Library'!B:T,MATCH(C2,'Use Case Library'!B:B,0),14),"")</f>
        <v>Firing Line Breach Detection
IF any person's foot position crosses firing line boundary AND range status = HOT → IMMEDIATE ALERT + ceasefire recommendation. 
IF breach &lt; 0.5m and &lt; 1s (momentary lean) → LOG as minor, no ceasefire. 
IF breach &gt; 1m or sustained &gt; 2s → CRITICAL, auto-recommend ceasefire. 
Update line boundary definition at each serial change.</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78</v>
      </c>
    </row>
    <row r="4">
      <c r="A4" s="84" t="s">
        <v>706</v>
      </c>
      <c r="B4" s="85" t="s">
        <v>22</v>
      </c>
      <c r="C4" s="86" t="str">
        <f t="array" ref="C4">IFERROR(INDEX('Use Case Library'!B:T,MATCH(C2,'Use Case Library'!B:B,0),4),"")</f>
        <v>Weapon Readiness State Classification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P1 - High</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Classifies observable weapon state: holstered/slung, low-ready, high-ready, aimed/shouldered, firing. Feeds into other use cases.</v>
      </c>
    </row>
    <row r="13">
      <c r="A13" s="81"/>
      <c r="B13" s="85" t="s">
        <v>24</v>
      </c>
      <c r="C13" s="86" t="str">
        <f t="array" ref="C13">IFERROR(INDEX('Use Case Library'!B:T,MATCH(C2,'Use Case Library'!B:B,0),6),"")</f>
        <v>Continuous awareness of weapon states across the range.</v>
      </c>
    </row>
    <row r="14">
      <c r="A14" s="81"/>
      <c r="B14" s="85" t="s">
        <v>25</v>
      </c>
      <c r="C14" s="86" t="str">
        <f t="array" ref="C14">IFERROR(INDEX('Use Case Library'!B:T,MATCH(C2,'Use Case Library'!B:B,0),7),"")</f>
        <v>Weapon detection + pose classification. Multi-class: slung, low-ready, high-ready, aimed, firing.</v>
      </c>
    </row>
    <row r="15">
      <c r="A15" s="81"/>
      <c r="B15" s="85" t="s">
        <v>26</v>
      </c>
      <c r="C15" s="86" t="str">
        <f t="array" ref="C15">IFERROR(INDEX('Use Case Library'!B:T,MATCH(C2,'Use Case Library'!B:B,0),8),"")</f>
        <v>1) Classification accuracy per state
2) State transition detection speed
3) Accuracy across weapon types
4) Robustness to occlusion from gear</v>
      </c>
    </row>
    <row r="16">
      <c r="A16" s="81"/>
      <c r="B16" s="85" t="s">
        <v>27</v>
      </c>
      <c r="C16" s="86" t="str">
        <f t="array" ref="C16">IFERROR(INDEX('Use Case Library'!B:T,MATCH(C2,'Use Case Library'!B:B,0),9),"")</f>
        <v>Real-time weapon state overlay. Anomaly detection: aimed during ceasefire, firing outside window.</v>
      </c>
    </row>
    <row r="17">
      <c r="A17" s="81"/>
      <c r="B17" s="85" t="s">
        <v>28</v>
      </c>
      <c r="C17" s="86" t="str">
        <f t="array" ref="C17">IFERROR(INDEX('Use Case Library'!B:T,MATCH(C2,'Use Case Library'!B:B,0),10),"")</f>
        <v>No automated tracking - entirely dependent on safety officer observation.</v>
      </c>
    </row>
    <row r="18">
      <c r="A18" s="81"/>
      <c r="B18" s="85" t="s">
        <v>709</v>
      </c>
      <c r="C18" s="86" t="str">
        <f t="array" ref="C18">IFERROR(INDEX('Use Case Library'!B:T,MATCH(C2,'Use Case Library'!B:B,0),11),"")</f>
        <v>- Weapon partially hidden by body armour
- Pistol states subtler than rifle
- Slung weapon bouncing mimics state change
- Night/IR conditions alter appearance</v>
      </c>
    </row>
    <row r="19">
      <c r="A19" s="81"/>
      <c r="B19" s="85" t="s">
        <v>33</v>
      </c>
      <c r="C19" s="86" t="str">
        <f t="array" ref="C19">IFERROR(INDEX('Use Case Library'!B:T,MATCH(C2,'Use Case Library'!B:B,0),15),"")</f>
        <v>UC-001, UC-004, UC-005</v>
      </c>
    </row>
    <row r="20">
      <c r="A20" s="81"/>
      <c r="B20" s="85" t="s">
        <v>710</v>
      </c>
      <c r="C20" s="86" t="str">
        <f t="array" ref="C20">IFERROR(INDEX('Use Case Library'!B:T,MATCH(C2,'Use Case Library'!B:B,0),14),"")</f>
        <v>Weapon Readiness State Classification
Continuous classification per tracked individual: SLUNG → LOW-READY → HIGH-READY → AIMED → FIRING. 
IF state = AIMED and range status ≠ HOT → ALERT. 
IF state = AIMED and firer not at designated firing position → ALERT. 
Feed state data to UC-001 (muzzle direction uses weapon state as input) and UC-004 (firing state outside window).</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139</v>
      </c>
    </row>
    <row r="4">
      <c r="A4" s="84" t="s">
        <v>706</v>
      </c>
      <c r="B4" s="85" t="s">
        <v>22</v>
      </c>
      <c r="C4" s="86" t="str">
        <f t="array" ref="C4">IFERROR(INDEX('Use Case Library'!B:T,MATCH(C2,'Use Case Library'!B:B,0),4),"")</f>
        <v>Medical Casualty Detection During Live Exercise</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Detects person falling, collapsing, or exhibiting distress postures while weapons are in play. Must distinguish genuine event from tactical movement.</v>
      </c>
    </row>
    <row r="13">
      <c r="A13" s="81"/>
      <c r="B13" s="85" t="s">
        <v>24</v>
      </c>
      <c r="C13" s="86" t="str">
        <f t="array" ref="C13">IFERROR(INDEX('Use Case Library'!B:T,MATCH(C2,'Use Case Library'!B:B,0),6),"")</f>
        <v>Get medical help immediately, even when live fire creates access challenges.
Especially critical when the casualty personnel is alone - often overlooked.</v>
      </c>
    </row>
    <row r="14">
      <c r="A14" s="81"/>
      <c r="B14" s="85" t="s">
        <v>25</v>
      </c>
      <c r="C14" s="86" t="str">
        <f t="array" ref="C14">IFERROR(INDEX('Use Case Library'!B:T,MATCH(C2,'Use Case Library'!B:B,0),7),"")</f>
        <v>Fall detection (sudden vertical-to-horizontal) + stationary posture duration + context analysis.</v>
      </c>
    </row>
    <row r="15">
      <c r="A15" s="81"/>
      <c r="B15" s="85" t="s">
        <v>26</v>
      </c>
      <c r="C15" s="86" t="str">
        <f t="array" ref="C15">IFERROR(INDEX('Use Case Library'!B:T,MATCH(C2,'Use Case Library'!B:B,0),8),"")</f>
        <v>1) Time from collapse to detection
2) False positive rate (going prone intentionally vs fall)
3) Distinguishing tactical prone from distress
4) Context: expected vs unexpected posture for exercise phase</v>
      </c>
    </row>
    <row r="16">
      <c r="A16" s="81"/>
      <c r="B16" s="85" t="s">
        <v>27</v>
      </c>
      <c r="C16" s="86" t="str">
        <f t="array" ref="C16">IFERROR(INDEX('Use Case Library'!B:T,MATCH(C2,'Use Case Library'!B:B,0),9),"")</f>
        <v>Immediate alert to safety officer and medical team. Ceasefire recommendation for affected lane.
By default: If no external system integration is needed, it will then route the notification and alert to Accel.</v>
      </c>
    </row>
    <row r="17">
      <c r="A17" s="81"/>
      <c r="B17" s="85" t="s">
        <v>28</v>
      </c>
      <c r="C17" s="86" t="str">
        <f t="array" ref="C17">IFERROR(INDEX('Use Case Library'!B:T,MATCH(C2,'Use Case Library'!B:B,0),10),"")</f>
        <v>Buddy or adjacent firer notices - delayed, sometimes missed during intense firing.</v>
      </c>
    </row>
    <row r="18">
      <c r="A18" s="81"/>
      <c r="B18" s="85" t="s">
        <v>709</v>
      </c>
      <c r="C18" s="86" t="str">
        <f t="array" ref="C18">IFERROR(INDEX('Use Case Library'!B:T,MATCH(C2,'Use Case Library'!B:B,0),11),"")</f>
        <v>- Going prone is normal firing position
- Simulated casualties in training
- Person resting between serials
- Gradual event (heat exhaustion) vs sudden collapse</v>
      </c>
    </row>
    <row r="19">
      <c r="A19" s="81"/>
      <c r="B19" s="85" t="s">
        <v>33</v>
      </c>
      <c r="C19" s="86" t="str">
        <f t="array" ref="C19">IFERROR(INDEX('Use Case Library'!B:T,MATCH(C2,'Use Case Library'!B:B,0),15),"")</f>
        <v>UC-006, UC-004</v>
      </c>
    </row>
    <row r="20">
      <c r="A20" s="81"/>
      <c r="B20" s="85" t="s">
        <v>710</v>
      </c>
      <c r="C20" s="86" t="str">
        <f t="array" ref="C20">IFERROR(INDEX('Use Case Library'!B:T,MATCH(C2,'Use Case Library'!B:B,0),14),"")</f>
        <v>Medical Casualty Detection
IF sudden vertical-to-horizontal transition detected AND person remains stationary &gt; 10s AND context ≠ expected prone position → MEDICAL ALERT to safety officer + medical team. 
IF audio detects 'man down' call → bypass 10s wait, alert immediately. 
IF exercise phase expects prone firing → raise stationary threshold to 30s. 
Always recommend lane-specific ceasefire, not range-wide.</v>
      </c>
    </row>
    <row r="21">
      <c r="A21" s="81"/>
      <c r="B21" s="85" t="s">
        <v>36</v>
      </c>
      <c r="C21" s="86" t="str">
        <f t="array" ref="C21">IFERROR(INDEX('Use Case Library'!B:T,MATCH(C2,'Use Case Library'!B:B,0),17),"")</f>
        <v>Visual-Primary, Audio-Enhanced</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152</v>
      </c>
    </row>
    <row r="4">
      <c r="A4" s="84" t="s">
        <v>706</v>
      </c>
      <c r="B4" s="85" t="s">
        <v>22</v>
      </c>
      <c r="C4" s="86" t="str">
        <f t="array" ref="C4">IFERROR(INDEX('Use Case Library'!B:T,MATCH(C2,'Use Case Library'!B:B,0),4),"")</f>
        <v>Unsafe Weapon Handling Behaviour Pattern Detection</v>
      </c>
    </row>
    <row r="5">
      <c r="A5" s="81"/>
      <c r="B5" s="85" t="s">
        <v>20</v>
      </c>
      <c r="C5" s="86" t="str">
        <f t="array" ref="C5">IFERROR(INDEX('Use Case Library'!B:T,MATCH(C2,'Use Case Library'!B:B,0),2),"")</f>
        <v>A</v>
      </c>
    </row>
    <row r="6">
      <c r="A6" s="81"/>
      <c r="B6" s="85" t="s">
        <v>21</v>
      </c>
      <c r="C6" s="86" t="str">
        <f t="array" ref="C6">IFERROR(INDEX('Use Case Library'!B:T,MATCH(C2,'Use Case Library'!B:B,0),3),"")</f>
        <v>Core Safety</v>
      </c>
    </row>
    <row r="7">
      <c r="A7" s="81"/>
      <c r="B7" s="85" t="s">
        <v>30</v>
      </c>
      <c r="C7" s="86" t="str">
        <f t="array" ref="C7">IFERROR(INDEX('Use Case Library'!B:T,MATCH(C2,'Use Case Library'!B:B,0),12),"")</f>
        <v>P2 - Medium</v>
      </c>
    </row>
    <row r="8">
      <c r="A8" s="81"/>
      <c r="B8" s="85" t="s">
        <v>18</v>
      </c>
      <c r="C8" s="86" t="str">
        <f t="array" ref="C8">IFERROR(INDEX('Use Case Library'!B:T,MATCH(C2,'Use Case Library'!B:B,0),13),"")</f>
        <v>Not Started</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Identifies accumulated patterns of unsafe behaviour over time - repeated muzzle sweeps, finger on trigger while not firing, weapon manipulation during briefings. Trend indicates intervention needed.</v>
      </c>
    </row>
    <row r="13">
      <c r="A13" s="81"/>
      <c r="B13" s="85" t="s">
        <v>24</v>
      </c>
      <c r="C13" s="86" t="str">
        <f t="array" ref="C13">IFERROR(INDEX('Use Case Library'!B:T,MATCH(C2,'Use Case Library'!B:B,0),6),"")</f>
        <v>Identify individuals developing unsafe habits before an incident occurs.</v>
      </c>
    </row>
    <row r="14">
      <c r="A14" s="81"/>
      <c r="B14" s="85" t="s">
        <v>25</v>
      </c>
      <c r="C14" s="86" t="str">
        <f t="array" ref="C14">IFERROR(INDEX('Use Case Library'!B:T,MATCH(C2,'Use Case Library'!B:B,0),7),"")</f>
        <v>Aggregation of detections from UC-001, UC-008, UC-005 over time per individual. Statistical pattern analysis.</v>
      </c>
    </row>
    <row r="15">
      <c r="A15" s="81"/>
      <c r="B15" s="85" t="s">
        <v>26</v>
      </c>
      <c r="C15" s="86" t="str">
        <f t="array" ref="C15">IFERROR(INDEX('Use Case Library'!B:T,MATCH(C2,'Use Case Library'!B:B,0),8),"")</f>
        <v>1) Minor violations per individual per session
2) Trend over multiple sessions
3) Correlation between patterns and incident proximity
4) False pattern rate</v>
      </c>
    </row>
    <row r="16">
      <c r="A16" s="81"/>
      <c r="B16" s="85" t="s">
        <v>27</v>
      </c>
      <c r="C16" s="86" t="str">
        <f t="array" ref="C16">IFERROR(INDEX('Use Case Library'!B:T,MATCH(C2,'Use Case Library'!B:B,0),9),"")</f>
        <v>Flagged report to safety officer with evidence. Recommendation for remedial training.
By default: If no external system integration is needed, it will then route the notification and alert to Accel.</v>
      </c>
    </row>
    <row r="17">
      <c r="A17" s="81"/>
      <c r="B17" s="85" t="s">
        <v>28</v>
      </c>
      <c r="C17" s="86" t="str">
        <f t="array" ref="C17">IFERROR(INDEX('Use Case Library'!B:T,MATCH(C2,'Use Case Library'!B:B,0),10),"")</f>
        <v>Anecdotal - no systematic tracking.</v>
      </c>
    </row>
    <row r="18">
      <c r="A18" s="81"/>
      <c r="B18" s="85" t="s">
        <v>709</v>
      </c>
      <c r="C18" s="86" t="str">
        <f t="array" ref="C18">IFERROR(INDEX('Use Case Library'!B:T,MATCH(C2,'Use Case Library'!B:B,0),11),"")</f>
        <v>- New trainees expected to have more violations
- Cultural differences between units
- Pattern window: how far back to look?
- Privacy/fairness concerns</v>
      </c>
    </row>
    <row r="19">
      <c r="A19" s="81"/>
      <c r="B19" s="85" t="s">
        <v>33</v>
      </c>
      <c r="C19" s="86" t="str">
        <f t="array" ref="C19">IFERROR(INDEX('Use Case Library'!B:T,MATCH(C2,'Use Case Library'!B:B,0),15),"")</f>
        <v>UC-001, UC-008, UC-005</v>
      </c>
    </row>
    <row r="20">
      <c r="A20" s="81"/>
      <c r="B20" s="85" t="s">
        <v>710</v>
      </c>
      <c r="C20" s="86" t="str">
        <f t="array" ref="C20">IFERROR(INDEX('Use Case Library'!B:T,MATCH(C2,'Use Case Library'!B:B,0),14),"")</f>
        <v>Unsafe Weapon Handling Behaviour Pattern
Aggregate violations from UC-001, UC-005, UC-008 per individual per session. 
IF minor violations ≥ 3 in single session → INTERVENTION ADVISORY to safety officer. 
IF violations trending upward across sessions (≥2 consecutive sessions above baseline) → REMEDIAL TRAINING recommendation. 
Weight recent violations higher. Exclude first-session trainees from trend analysis (learning curve allowance).</v>
      </c>
    </row>
    <row r="21">
      <c r="A21" s="81"/>
      <c r="B21" s="85" t="s">
        <v>36</v>
      </c>
      <c r="C21" s="86" t="str">
        <f t="array" ref="C21">IFERROR(INDEX('Use Case Library'!B:T,MATCH(C2,'Use Case Library'!B:B,0),17),"")</f>
        <v>Visual Only</v>
      </c>
    </row>
    <row r="22">
      <c r="A22" s="87" t="s">
        <v>711</v>
      </c>
      <c r="B22" s="79"/>
      <c r="C22" s="80"/>
    </row>
    <row r="23">
      <c r="A23" s="81"/>
      <c r="B23" s="85" t="s">
        <v>712</v>
      </c>
      <c r="C23" s="12" t="s">
        <v>713</v>
      </c>
    </row>
    <row r="24">
      <c r="A24" s="81"/>
      <c r="B24" s="85" t="s">
        <v>714</v>
      </c>
      <c r="C24" s="12" t="s">
        <v>715</v>
      </c>
    </row>
    <row r="25">
      <c r="A25" s="81"/>
      <c r="B25" s="85" t="s">
        <v>716</v>
      </c>
      <c r="C25" s="12" t="s">
        <v>717</v>
      </c>
    </row>
    <row r="26">
      <c r="A26" s="81"/>
      <c r="B26" s="85" t="s">
        <v>718</v>
      </c>
      <c r="C26" s="13" t="s">
        <v>719</v>
      </c>
    </row>
    <row r="27">
      <c r="A27" s="81"/>
      <c r="B27" s="85" t="s">
        <v>720</v>
      </c>
      <c r="C27" s="12" t="s">
        <v>721</v>
      </c>
    </row>
    <row r="28">
      <c r="A28" s="81"/>
      <c r="B28" s="85" t="s">
        <v>722</v>
      </c>
      <c r="C28" s="12" t="s">
        <v>723</v>
      </c>
    </row>
    <row r="29">
      <c r="A29" s="81"/>
      <c r="B29" s="85" t="s">
        <v>724</v>
      </c>
      <c r="C29" s="12" t="s">
        <v>725</v>
      </c>
    </row>
    <row r="30">
      <c r="A30" s="84" t="s">
        <v>726</v>
      </c>
      <c r="B30" s="85" t="s">
        <v>727</v>
      </c>
      <c r="C30" s="12" t="s">
        <v>728</v>
      </c>
    </row>
    <row r="31">
      <c r="A31" s="81"/>
      <c r="B31" s="85" t="s">
        <v>729</v>
      </c>
      <c r="C31" s="12" t="s">
        <v>730</v>
      </c>
    </row>
    <row r="32">
      <c r="A32" s="81"/>
      <c r="B32" s="85" t="s">
        <v>731</v>
      </c>
      <c r="C32" s="12" t="s">
        <v>732</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11:C11"/>
    <mergeCell ref="A22:C22"/>
    <mergeCell ref="A41:C4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576</v>
      </c>
    </row>
    <row r="4">
      <c r="A4" s="84" t="s">
        <v>706</v>
      </c>
      <c r="B4" s="85" t="s">
        <v>22</v>
      </c>
      <c r="C4" s="86" t="str">
        <f t="array" ref="C4">IFERROR(INDEX('Use Case Library'!B:T,MATCH(C2,'Use Case Library'!B:B,0),4),"")</f>
        <v>Weapon Visibility Rule (Consolidated)</v>
      </c>
    </row>
    <row r="5">
      <c r="A5" s="81"/>
      <c r="B5" s="85" t="s">
        <v>20</v>
      </c>
      <c r="C5" s="86" t="str">
        <f t="array" ref="C5">IFERROR(INDEX('Use Case Library'!B:T,MATCH(C2,'Use Case Library'!B:B,0),2),"")</f>
        <v>J</v>
      </c>
    </row>
    <row r="6">
      <c r="A6" s="81"/>
      <c r="B6" s="85" t="s">
        <v>21</v>
      </c>
      <c r="C6" s="86" t="str">
        <f t="array" ref="C6">IFERROR(INDEX('Use Case Library'!B:T,MATCH(C2,'Use Case Library'!B:B,0),3),"")</f>
        <v>SWT Weapons</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Draft</v>
      </c>
    </row>
    <row r="9">
      <c r="A9" s="81"/>
      <c r="B9" s="85" t="s">
        <v>35</v>
      </c>
      <c r="C9" s="86" t="str">
        <f t="array" ref="C9">IFERROR(INDEX('Use Case Library'!B:T,MATCH(C2,'Use Case Library'!B:B,0),16),"")</f>
        <v>Configuration:
  "WEAPON_CONFIDENCE_THRESHOLD": 0.80
      Minimum YOLO confidence for a weapon detection to count.
      Lower = more sensitive (more false positives). Higher = miss small/blurry weapons.
  "PERSON_CONFIDENCE_THRESHOLD": 0.80
      Minimum YOLO confidence for a person detection to count.
  "T1_DURATION_THRESHOLD": 2.0
      Seconds to wait before firing an URGENT alert.
      Used by: Missing, Taken, Boundary Violation (UC-052 uses 0s = immediate).
  "T2_DURATION_THRESHOLD": 5.0
      Seconds to wait before firing a WARNING alert (longer grace period).
      Used by: Occluded scenarios (person standing near weapon).
  "NEAR_DISTANCE_PX": 200
      THE KEY DISTANCE FOR UC-051.
      Pixel radius around the weapon's last-known position.
      Person within this distance = 'near' (occluded → T2).
      Person beyond this distance = 'far' (taken → T1).</v>
      </c>
    </row>
    <row r="10">
      <c r="A10" s="81"/>
      <c r="B10" s="85" t="s">
        <v>707</v>
      </c>
      <c r="C10" s="12"/>
    </row>
    <row r="11">
      <c r="A11" s="87" t="s">
        <v>708</v>
      </c>
      <c r="B11" s="79"/>
      <c r="C11" s="80"/>
    </row>
    <row r="12">
      <c r="A12" s="81"/>
      <c r="B12" s="85" t="s">
        <v>23</v>
      </c>
      <c r="C12" s="86" t="str">
        <f t="array" ref="C12">IFERROR(INDEX('Use Case Library'!B:T,MATCH(C2,'Use Case Library'!B:B,0),5),"")</f>
        <v>Consolidated policy covering all scenarios where a weapon disappears from view within the detection zone. Handles three sub-scenarios based on person count at disappearance: (A) no person present, (B) one person — weapon taken out of frame or occluded, (C) multiple persons present. Merges original Policies 1, 2, and 3.</v>
      </c>
    </row>
    <row r="13">
      <c r="A13" s="81"/>
      <c r="B13" s="85" t="s">
        <v>24</v>
      </c>
      <c r="C13" s="86" t="str">
        <f t="array" ref="C13">IFERROR(INDEX('Use Case Library'!B:T,MATCH(C2,'Use Case Library'!B:B,0),6),"")</f>
        <v>Ensure any weapon that is no longer visible triggers a timely alert once all associated persons have cleared the detection zone.</v>
      </c>
    </row>
    <row r="14">
      <c r="A14" s="81"/>
      <c r="B14" s="85" t="s">
        <v>25</v>
      </c>
      <c r="C14" s="86" t="str">
        <f t="array" ref="C14">IFERROR(INDEX('Use Case Library'!B:T,MATCH(C2,'Use Case Library'!B:B,0),7),"")</f>
        <v>Weapon-shaped object classifier loses confirmed detection (absent ≥3 consecutive frames). Person-detection classifier tracks associated individuals in the zone. T1 and T2 timers govern alert timing based on person presence state.</v>
      </c>
    </row>
    <row r="15">
      <c r="A15" s="81"/>
      <c r="B15" s="85" t="s">
        <v>26</v>
      </c>
      <c r="C15" s="86" t="str">
        <f t="array" ref="C15">IFERROR(INDEX('Use Case Library'!B:T,MATCH(C2,'Use Case Library'!B:B,0),8),"")</f>
        <v>1) Weapon visibility state (visible / occluded / out-of-frame)
2) Associated person count in detection zone
3) T1 timer state (countdown after zone is clear)
4) T2 timer state (grace period while person remains)
5) Weapon reappearance events (timer reset trigger)</v>
      </c>
    </row>
    <row r="16">
      <c r="A16" s="81"/>
      <c r="B16" s="85" t="s">
        <v>27</v>
      </c>
      <c r="C16" s="86" t="str">
        <f t="array" ref="C16">IFERROR(INDEX('Use Case Library'!B:T,MATCH(C2,'Use Case Library'!B:B,0),9),"")</f>
        <v>Alert triggered after T1 expires once all associated persons have left and weapon remains unseen. If weapon reappears before T1 expires, all timers reset and no alert is issued.</v>
      </c>
    </row>
    <row r="17">
      <c r="A17" s="81"/>
      <c r="B17" s="85" t="s">
        <v>28</v>
      </c>
      <c r="C17" s="86" t="str">
        <f t="array" ref="C17">IFERROR(INDEX('Use Case Library'!B:T,MATCH(C2,'Use Case Library'!B:B,0),10),"")</f>
        <v>Manual observation. No automated tracking of weapon visibility state or person-presence changes.</v>
      </c>
    </row>
    <row r="18">
      <c r="A18" s="81"/>
      <c r="B18" s="85" t="s">
        <v>709</v>
      </c>
      <c r="C18" s="86" t="str">
        <f t="array" ref="C18">IFERROR(INDEX('Use Case Library'!B:T,MATCH(C2,'Use Case Library'!B:B,0),11),"")</f>
        <v>- Weapon occluded by passing non-associated person
- Person re-enters zone after T1 has started
- Weapon reappears briefly then disappears again (reset-restart cycle)
- Multiple persons leaving at different times</v>
      </c>
    </row>
    <row r="19">
      <c r="A19" s="81"/>
      <c r="B19" s="85" t="s">
        <v>33</v>
      </c>
      <c r="C19" s="86" t="str">
        <f t="array" ref="C19">IFERROR(INDEX('Use Case Library'!B:T,MATCH(C2,'Use Case Library'!B:B,0),15),"")</f>
        <v>
Need to detect the object first and when a weapon detection disappears, the policy walks every LOCKED person and measures:
  distance = center_of_person_box → center_of_weapon's_last_known_position
Then classifies:
  • distance ≤ NEAR_DISTANCE_PX (200 px) → 'near'   → contributes to near_count
  • distance &gt; NEAR_DISTANCE_PX (200 px) → 'far'    → contributes to far_count
  • no locked persons in ROI at all     → 'none' 
</v>
      </c>
    </row>
    <row r="20">
      <c r="A20" s="81"/>
      <c r="B20" s="89" t="s">
        <v>34</v>
      </c>
      <c r="C20" s="86" t="str">
        <f t="array" ref="C20">IFERROR(INDEX('Use Case Library'!B:T,MATCH(C2,'Use Case Library'!B:B,0),16),"")</f>
        <v>Configuration:
  "WEAPON_CONFIDENCE_THRESHOLD": 0.80
      Minimum YOLO confidence for a weapon detection to count.
      Lower = more sensitive (more false positives). Higher = miss small/blurry weapons.
  "PERSON_CONFIDENCE_THRESHOLD": 0.80
      Minimum YOLO confidence for a person detection to count.
  "T1_DURATION_THRESHOLD": 2.0
      Seconds to wait before firing an URGENT alert.
      Used by: Missing, Taken, Boundary Violation (UC-052 uses 0s = immediate).
  "T2_DURATION_THRESHOLD": 5.0
      Seconds to wait before firing a WARNING alert (longer grace period).
      Used by: Occluded scenarios (person standing near weapon).
  "NEAR_DISTANCE_PX": 200
      THE KEY DISTANCE FOR UC-051.
      Pixel radius around the weapon's last-known position.
      Person within this distance = 'near' (occluded → T2).
      Person beyond this distance = 'far' (taken → T1).</v>
      </c>
    </row>
    <row r="21">
      <c r="A21" s="81"/>
      <c r="B21" s="85" t="s">
        <v>710</v>
      </c>
      <c r="C21" s="86" t="str">
        <f t="array" ref="C21">IFERROR(INDEX('Use Case Library'!B:T,MATCH(C2,'Use Case Library'!B:B,0),14),"")</f>
        <v>
IF weapon not visible AND 0 persons → start T1 (Weapon {Weapon_id} Missing) → alert.
IF weapon not visible AND 1 person near → start T2 (Weapon {Weapon_id} Occluded by Person {Person_id) → alert.
IF weapon not visible AND 1 person far → start T1(Weapon  {Weapon_id} Taken  by Person {Person_id)) → alert.
IF weapon not visible AND 2+ persons → priority rules:
   ANY person far → T1 (Weapon  {Weapon_id} Taken  by Person {Person_id))
   All 2+ persons near → T2 (Weapon {Weapon_id} Occluded by Person {Person_id))
   1 near, 0 far → T2 (Weapon {Weapon_id} Occluded by Person {Person_id))
   All left ROI → T1(Weapon {Weapon_id} Taken by Person {Person_id))
IF weapon reappears before window expiry → reset all timers, no alert.
</v>
      </c>
    </row>
    <row r="22">
      <c r="A22" s="81"/>
      <c r="B22" s="85" t="s">
        <v>36</v>
      </c>
      <c r="C22" s="86" t="str">
        <f t="array" ref="C22">IFERROR(INDEX('Use Case Library'!B:T,MATCH(C2,'Use Case Library'!B:B,0),17),"")</f>
        <v>Visual Only</v>
      </c>
    </row>
    <row r="23">
      <c r="A23" s="103"/>
      <c r="B23" s="104" t="s">
        <v>712</v>
      </c>
      <c r="C23" s="59" t="s">
        <v>840</v>
      </c>
    </row>
    <row r="24">
      <c r="A24" s="105"/>
      <c r="B24" s="106" t="s">
        <v>714</v>
      </c>
      <c r="C24" s="59" t="s">
        <v>841</v>
      </c>
    </row>
    <row r="25">
      <c r="A25" s="105"/>
      <c r="B25" s="106" t="s">
        <v>716</v>
      </c>
      <c r="C25" s="58" t="s">
        <v>842</v>
      </c>
    </row>
    <row r="26">
      <c r="A26" s="105"/>
      <c r="B26" s="106" t="s">
        <v>718</v>
      </c>
      <c r="C26" s="59" t="s">
        <v>843</v>
      </c>
    </row>
    <row r="27">
      <c r="A27" s="105"/>
      <c r="B27" s="106" t="s">
        <v>720</v>
      </c>
      <c r="C27" s="57" t="s">
        <v>844</v>
      </c>
    </row>
    <row r="28">
      <c r="A28" s="105"/>
      <c r="B28" s="106" t="s">
        <v>722</v>
      </c>
      <c r="C28" s="58" t="s">
        <v>845</v>
      </c>
    </row>
    <row r="29">
      <c r="A29" s="105"/>
      <c r="B29" s="106" t="s">
        <v>724</v>
      </c>
      <c r="C29" s="58" t="s">
        <v>846</v>
      </c>
    </row>
    <row r="30">
      <c r="A30" s="107" t="s">
        <v>726</v>
      </c>
      <c r="B30" s="108"/>
      <c r="C30" s="109"/>
    </row>
    <row r="31">
      <c r="A31" s="105"/>
      <c r="B31" s="106" t="s">
        <v>729</v>
      </c>
      <c r="C31" s="58" t="s">
        <v>847</v>
      </c>
    </row>
    <row r="32">
      <c r="A32" s="105"/>
      <c r="B32" s="106" t="s">
        <v>731</v>
      </c>
      <c r="C32" s="58" t="s">
        <v>848</v>
      </c>
    </row>
    <row r="33">
      <c r="A33" s="81"/>
      <c r="B33" s="85" t="s">
        <v>731</v>
      </c>
      <c r="C33" s="12" t="s">
        <v>732</v>
      </c>
    </row>
    <row r="34">
      <c r="A34" s="84" t="s">
        <v>733</v>
      </c>
      <c r="B34" s="85" t="s">
        <v>734</v>
      </c>
      <c r="C34" s="12"/>
    </row>
    <row r="35" ht="30.0" customHeight="1">
      <c r="A35" s="81"/>
      <c r="B35" s="85" t="s">
        <v>735</v>
      </c>
      <c r="C35" s="12"/>
    </row>
    <row r="36" ht="30.0" customHeight="1">
      <c r="A36" s="81"/>
      <c r="B36" s="85" t="s">
        <v>736</v>
      </c>
      <c r="C36" s="12"/>
    </row>
    <row r="37" ht="30.0" customHeight="1">
      <c r="A37" s="81"/>
      <c r="B37" s="85" t="s">
        <v>735</v>
      </c>
      <c r="C37" s="12"/>
    </row>
    <row r="38" ht="30.0" customHeight="1">
      <c r="A38" s="81"/>
      <c r="B38" s="85" t="s">
        <v>737</v>
      </c>
      <c r="C38" s="12"/>
    </row>
    <row r="39" ht="30.0" customHeight="1">
      <c r="A39" s="81"/>
      <c r="B39" s="85" t="s">
        <v>735</v>
      </c>
      <c r="C39" s="12"/>
    </row>
    <row r="40" ht="30.0" customHeight="1">
      <c r="A40" s="81"/>
      <c r="B40" s="85" t="s">
        <v>738</v>
      </c>
      <c r="C40" s="12"/>
    </row>
    <row r="41" ht="30.0" customHeight="1">
      <c r="A41" s="81"/>
      <c r="B41" s="85" t="s">
        <v>735</v>
      </c>
      <c r="C41" s="12"/>
    </row>
    <row r="42" ht="27.75" customHeight="1">
      <c r="A42" s="88" t="s">
        <v>739</v>
      </c>
      <c r="B42" s="79"/>
      <c r="C42" s="80"/>
    </row>
    <row r="43" ht="30.0" customHeight="1">
      <c r="A43" s="81"/>
      <c r="B43" s="89" t="s">
        <v>740</v>
      </c>
      <c r="C43" s="12"/>
    </row>
    <row r="44" ht="30.0" customHeight="1">
      <c r="A44" s="81"/>
      <c r="B44" s="85" t="s">
        <v>741</v>
      </c>
      <c r="C44" s="12"/>
    </row>
    <row r="45" ht="30.0" customHeight="1">
      <c r="A45" s="81"/>
      <c r="B45" s="85" t="s">
        <v>742</v>
      </c>
      <c r="C45" s="12"/>
    </row>
    <row r="46" ht="30.0" customHeight="1">
      <c r="A46" s="81"/>
      <c r="B46" s="89" t="s">
        <v>743</v>
      </c>
      <c r="C46" s="12"/>
    </row>
    <row r="47" ht="30.0" customHeight="1">
      <c r="A47" s="81"/>
      <c r="B47" s="85" t="s">
        <v>741</v>
      </c>
      <c r="C47" s="12"/>
    </row>
    <row r="48" ht="30.0" customHeight="1">
      <c r="A48" s="81"/>
      <c r="B48" s="85" t="s">
        <v>742</v>
      </c>
      <c r="C48" s="12"/>
    </row>
    <row r="49" ht="30.0" customHeight="1">
      <c r="A49" s="81"/>
      <c r="B49" s="89" t="s">
        <v>744</v>
      </c>
      <c r="C49" s="12"/>
    </row>
    <row r="50" ht="30.0" customHeight="1">
      <c r="A50" s="81"/>
      <c r="B50" s="85" t="s">
        <v>741</v>
      </c>
      <c r="C50" s="12"/>
    </row>
    <row r="51" ht="30.0" customHeight="1">
      <c r="A51" s="81"/>
      <c r="B51" s="85" t="s">
        <v>742</v>
      </c>
      <c r="C51" s="12"/>
    </row>
    <row r="52" ht="30.0" customHeight="1">
      <c r="A52" s="84" t="s">
        <v>745</v>
      </c>
      <c r="B52" s="85" t="s">
        <v>746</v>
      </c>
      <c r="C52" s="12"/>
    </row>
    <row r="53">
      <c r="A53" s="81"/>
      <c r="B53" s="85" t="s">
        <v>747</v>
      </c>
      <c r="C53" s="12"/>
    </row>
    <row r="54">
      <c r="A54" s="81"/>
      <c r="B54" s="85" t="s">
        <v>748</v>
      </c>
      <c r="C54" s="12"/>
    </row>
    <row r="55">
      <c r="A55" s="81"/>
      <c r="B55" s="85" t="s">
        <v>749</v>
      </c>
      <c r="C55" s="12"/>
    </row>
    <row r="56">
      <c r="A56" s="81"/>
      <c r="B56" s="85" t="s">
        <v>750</v>
      </c>
      <c r="C56" s="12" t="s">
        <v>751</v>
      </c>
    </row>
    <row r="57">
      <c r="A57" s="84" t="s">
        <v>752</v>
      </c>
      <c r="B57" s="85" t="s">
        <v>753</v>
      </c>
      <c r="C57" s="12"/>
    </row>
    <row r="58">
      <c r="A58" s="81"/>
      <c r="B58" s="85" t="s">
        <v>754</v>
      </c>
      <c r="C58" s="12"/>
    </row>
    <row r="59">
      <c r="A59" s="81"/>
      <c r="B59" s="85" t="s">
        <v>755</v>
      </c>
      <c r="C59" s="12"/>
    </row>
    <row r="60">
      <c r="A60" s="81"/>
      <c r="B60" s="85" t="s">
        <v>756</v>
      </c>
      <c r="C60" s="1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C1"/>
    <mergeCell ref="A11:C11"/>
    <mergeCell ref="A30:C30"/>
    <mergeCell ref="A42:C42"/>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704</v>
      </c>
      <c r="B1" s="79"/>
      <c r="C1" s="80"/>
    </row>
    <row r="2" ht="36.0" customHeight="1">
      <c r="A2" s="81"/>
      <c r="B2" s="82" t="s">
        <v>705</v>
      </c>
      <c r="C2" s="83" t="s">
        <v>593</v>
      </c>
    </row>
    <row r="4">
      <c r="A4" s="84" t="s">
        <v>706</v>
      </c>
      <c r="B4" s="85" t="s">
        <v>22</v>
      </c>
      <c r="C4" s="86" t="str">
        <f t="array" ref="C4">IFERROR(INDEX('Use Case Library'!B:T,MATCH(C2,'Use Case Library'!B:B,0),4),"")</f>
        <v>Weapon Boundary Violation (Consolidated)</v>
      </c>
    </row>
    <row r="5">
      <c r="A5" s="81"/>
      <c r="B5" s="85" t="s">
        <v>20</v>
      </c>
      <c r="C5" s="86" t="str">
        <f t="array" ref="C5">IFERROR(INDEX('Use Case Library'!B:T,MATCH(C2,'Use Case Library'!B:B,0),2),"")</f>
        <v>J</v>
      </c>
    </row>
    <row r="6">
      <c r="A6" s="81"/>
      <c r="B6" s="85" t="s">
        <v>21</v>
      </c>
      <c r="C6" s="86" t="str">
        <f t="array" ref="C6">IFERROR(INDEX('Use Case Library'!B:T,MATCH(C2,'Use Case Library'!B:B,0),3),"")</f>
        <v>SWT Weapons</v>
      </c>
    </row>
    <row r="7">
      <c r="A7" s="81"/>
      <c r="B7" s="85" t="s">
        <v>30</v>
      </c>
      <c r="C7" s="86" t="str">
        <f t="array" ref="C7">IFERROR(INDEX('Use Case Library'!B:T,MATCH(C2,'Use Case Library'!B:B,0),12),"")</f>
        <v>P0 - Critical</v>
      </c>
    </row>
    <row r="8">
      <c r="A8" s="81"/>
      <c r="B8" s="85" t="s">
        <v>18</v>
      </c>
      <c r="C8" s="86" t="str">
        <f t="array" ref="C8">IFERROR(INDEX('Use Case Library'!B:T,MATCH(C2,'Use Case Library'!B:B,0),13),"")</f>
        <v>Draft</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Consolidated policy for all scenarios where a weapon crosses a restricted zone boundary, regardless of whether a person is carrying it. Person presence is captured as context but does not affect alert timing — alert is always immediate.</v>
      </c>
    </row>
    <row r="13">
      <c r="A13" s="81"/>
      <c r="B13" s="85" t="s">
        <v>24</v>
      </c>
      <c r="C13" s="86" t="str">
        <f t="array" ref="C13">IFERROR(INDEX('Use Case Library'!B:T,MATCH(C2,'Use Case Library'!B:B,0),6),"")</f>
        <v>Ensure any weapon leaving its authorised zone is immediately flagged — whether carried, thrown, kicked, or otherwise moved across the boundary.</v>
      </c>
    </row>
    <row r="14">
      <c r="A14" s="81"/>
      <c r="B14" s="85" t="s">
        <v>25</v>
      </c>
      <c r="C14" s="86" t="str">
        <f t="array" ref="C14">IFERROR(INDEX('Use Case Library'!B:T,MATCH(C2,'Use Case Library'!B:B,0),7),"")</f>
        <v>Weapon-shaped object trajectory crosses a defined restricted zone boundary line or polygon edge. Requires weapon tracked inside zone before crossing. Boundary definitions pre-loaded per exercise/zone configuration.</v>
      </c>
    </row>
    <row r="15">
      <c r="A15" s="81"/>
      <c r="B15" s="85" t="s">
        <v>26</v>
      </c>
      <c r="C15" s="86" t="str">
        <f t="array" ref="C15">IFERROR(INDEX('Use Case Library'!B:T,MATCH(C2,'Use Case Library'!B:B,0),8),"")</f>
        <v>1) Weapon position relative to zone boundary (inside / crossing / outside)
2) Weapon trajectory vector at crossing
3) Person association status at crossing (context only)
4) Crossing speed and direction
5) Whether weapon returns inside boundary after crossing</v>
      </c>
    </row>
    <row r="16">
      <c r="A16" s="81"/>
      <c r="B16" s="85" t="s">
        <v>27</v>
      </c>
      <c r="C16" s="86" t="str">
        <f t="array" ref="C16">IFERROR(INDEX('Use Case Library'!B:T,MATCH(C2,'Use Case Library'!B:B,0),9),"")</f>
        <v>Immediate alert the moment weapon crosses the restricted boundary. No grace period, no timer. Alert remains active until operator acknowledges. Highest priority — overrides UC-051 timers if both conditions occur simultaneously.</v>
      </c>
    </row>
    <row r="17">
      <c r="A17" s="81"/>
      <c r="B17" s="85" t="s">
        <v>28</v>
      </c>
      <c r="C17" s="86" t="str">
        <f t="array" ref="C17">IFERROR(INDEX('Use Case Library'!B:T,MATCH(C2,'Use Case Library'!B:B,0),10),"")</f>
        <v>Manual observation. No automated boundary monitoring or crossing detection.</v>
      </c>
    </row>
    <row r="18">
      <c r="A18" s="81"/>
      <c r="B18" s="85" t="s">
        <v>709</v>
      </c>
      <c r="C18" s="86" t="str">
        <f t="array" ref="C18">IFERROR(INDEX('Use Case Library'!B:T,MATCH(C2,'Use Case Library'!B:B,0),11),"")</f>
        <v>- Weapon bouncing across boundary and returning (transient crossing)
- Camera parallax causing apparent crossing that did not occur
- Multiple weapons near boundary simultaneously
- Authorised staff repositioning weapon across boundary</v>
      </c>
    </row>
    <row r="19">
      <c r="A19" s="81"/>
      <c r="B19" s="85" t="s">
        <v>33</v>
      </c>
      <c r="C19" s="86" t="str">
        <f t="array" ref="C19">IFERROR(INDEX('Use Case Library'!B:T,MATCH(C2,'Use Case Library'!B:B,0),15),"")</f>
        <v>Zone boundary definitions (pre-loaded per exercise). UC-051 (Weapon Visibility Rule).</v>
      </c>
    </row>
    <row r="20">
      <c r="A20" s="81"/>
      <c r="B20" s="85" t="s">
        <v>710</v>
      </c>
      <c r="C20" s="86" t="str">
        <f t="array" ref="C20">IFERROR(INDEX('Use Case Library'!B:T,MATCH(C2,'Use Case Library'!B:B,0),14),"")</f>
        <v>IF weapon crosses restricted zone boundary → IMMEDIATE alert (no timer, no delay).
Person association is logged as context but does not suppress or delay the alert.
Alert remains active until operator acknowledges.
HIGHEST PRIORITY — overrides all UC-051 (Visibility) timers if both conditions occur simultaneously.</v>
      </c>
    </row>
    <row r="21">
      <c r="A21" s="81"/>
      <c r="B21" s="85" t="s">
        <v>36</v>
      </c>
      <c r="C21" s="86" t="str">
        <f t="array" ref="C21">IFERROR(INDEX('Use Case Library'!B:T,MATCH(C2,'Use Case Library'!B:B,0),17),"")</f>
        <v>Visual Only</v>
      </c>
    </row>
    <row r="22">
      <c r="A22" s="87" t="s">
        <v>711</v>
      </c>
      <c r="B22" s="79"/>
      <c r="C22" s="80"/>
    </row>
    <row r="23">
      <c r="A23" s="105"/>
      <c r="B23" s="106" t="s">
        <v>712</v>
      </c>
      <c r="C23" s="58" t="s">
        <v>849</v>
      </c>
    </row>
    <row r="24">
      <c r="A24" s="105"/>
      <c r="B24" s="106" t="s">
        <v>714</v>
      </c>
      <c r="C24" s="58" t="s">
        <v>850</v>
      </c>
    </row>
    <row r="25">
      <c r="A25" s="105"/>
      <c r="B25" s="106" t="s">
        <v>716</v>
      </c>
      <c r="C25" s="58" t="s">
        <v>851</v>
      </c>
    </row>
    <row r="26">
      <c r="A26" s="105"/>
      <c r="B26" s="106" t="s">
        <v>718</v>
      </c>
      <c r="C26" s="57" t="s">
        <v>852</v>
      </c>
    </row>
    <row r="27">
      <c r="A27" s="105"/>
      <c r="B27" s="106" t="s">
        <v>720</v>
      </c>
      <c r="C27" s="58" t="s">
        <v>853</v>
      </c>
    </row>
    <row r="28">
      <c r="A28" s="105"/>
      <c r="B28" s="106" t="s">
        <v>722</v>
      </c>
      <c r="C28" s="58" t="s">
        <v>854</v>
      </c>
    </row>
    <row r="29">
      <c r="A29" s="105"/>
      <c r="B29" s="106" t="s">
        <v>724</v>
      </c>
      <c r="C29" s="58" t="s">
        <v>855</v>
      </c>
    </row>
    <row r="30">
      <c r="A30" s="107" t="s">
        <v>726</v>
      </c>
      <c r="B30" s="108"/>
      <c r="C30" s="109"/>
    </row>
    <row r="31">
      <c r="A31" s="105"/>
      <c r="B31" s="106" t="s">
        <v>729</v>
      </c>
      <c r="C31" s="58" t="s">
        <v>856</v>
      </c>
    </row>
    <row r="32">
      <c r="A32" s="105"/>
      <c r="B32" s="106" t="s">
        <v>731</v>
      </c>
      <c r="C32" s="58" t="s">
        <v>857</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11:C11"/>
    <mergeCell ref="A22:C22"/>
    <mergeCell ref="A30:C30"/>
    <mergeCell ref="A41:C4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A7A"/>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2" width="30.0"/>
    <col customWidth="1" min="3" max="3" width="75.0"/>
    <col customWidth="1" min="4" max="26" width="8.71"/>
  </cols>
  <sheetData>
    <row r="1" ht="31.5" customHeight="1">
      <c r="A1" s="78" t="s">
        <v>858</v>
      </c>
      <c r="B1" s="79"/>
      <c r="C1" s="80"/>
    </row>
    <row r="2" ht="36.0" customHeight="1">
      <c r="A2" s="81"/>
      <c r="B2" s="82" t="s">
        <v>705</v>
      </c>
      <c r="C2" s="83" t="s">
        <v>606</v>
      </c>
    </row>
    <row r="4">
      <c r="A4" s="84" t="s">
        <v>706</v>
      </c>
      <c r="B4" s="85" t="s">
        <v>22</v>
      </c>
      <c r="C4" s="86" t="str">
        <f t="array" ref="C4">IFERROR(INDEX('Use Case Library'!B:T,MATCH(C2,'Use Case Library'!B:B,0),4),"")</f>
        <v>Cross-Camera Person Re-Identification for Weapon Accountability Under Occlusion</v>
      </c>
    </row>
    <row r="5">
      <c r="A5" s="81"/>
      <c r="B5" s="85" t="s">
        <v>20</v>
      </c>
      <c r="C5" s="86" t="str">
        <f t="array" ref="C5">IFERROR(INDEX('Use Case Library'!B:T,MATCH(C2,'Use Case Library'!B:B,0),2),"")</f>
        <v>J</v>
      </c>
    </row>
    <row r="6">
      <c r="A6" s="81"/>
      <c r="B6" s="85" t="s">
        <v>21</v>
      </c>
      <c r="C6" s="86" t="str">
        <f t="array" ref="C6">IFERROR(INDEX('Use Case Library'!B:T,MATCH(C2,'Use Case Library'!B:B,0),3),"")</f>
        <v>SWT Weapons</v>
      </c>
    </row>
    <row r="7">
      <c r="A7" s="81"/>
      <c r="B7" s="85" t="s">
        <v>30</v>
      </c>
      <c r="C7" s="86" t="str">
        <f t="array" ref="C7">IFERROR(INDEX('Use Case Library'!B:T,MATCH(C2,'Use Case Library'!B:B,0),12),"")</f>
        <v>P1 - High</v>
      </c>
    </row>
    <row r="8">
      <c r="A8" s="81"/>
      <c r="B8" s="85" t="s">
        <v>18</v>
      </c>
      <c r="C8" s="86" t="str">
        <f t="array" ref="C8">IFERROR(INDEX('Use Case Library'!B:T,MATCH(C2,'Use Case Library'!B:B,0),13),"")</f>
        <v>Draft</v>
      </c>
    </row>
    <row r="9">
      <c r="A9" s="81"/>
      <c r="B9" s="85" t="s">
        <v>35</v>
      </c>
      <c r="C9" s="86" t="str">
        <f t="array" ref="C9">IFERROR(INDEX('Use Case Library'!B:T,MATCH(C2,'Use Case Library'!B:B,0),16),"")</f>
        <v/>
      </c>
    </row>
    <row r="10">
      <c r="A10" s="81"/>
      <c r="B10" s="85" t="s">
        <v>707</v>
      </c>
      <c r="C10" s="12"/>
    </row>
    <row r="11">
      <c r="A11" s="87" t="s">
        <v>708</v>
      </c>
      <c r="B11" s="79"/>
      <c r="C11" s="80"/>
    </row>
    <row r="12">
      <c r="A12" s="81"/>
      <c r="B12" s="85" t="s">
        <v>23</v>
      </c>
      <c r="C12" s="86" t="str">
        <f t="array" ref="C12">IFERROR(INDEX('Use Case Library'!B:T,MATCH(C2,'Use Case Library'!B:B,0),5),"")</f>
        <v>A single base station (training range) is covered by multiple CCTV cameras with non-overlapping or partially overlapping fields of view, each covering one or more lanes (e.g. Lane 1 through Lane 6). 
Trainees move freely between lanes while carrying their assigned weapons.
A naïve weapon-detection model treats every loss of weapon visibility as a loss of the weapon. The moment a trainee picks up and carries a weapon — barrel down, slung, or shielded by the body or carry posture — the weapon is occluded and disappears from detection. A frame-by-frame detector would raise a "weapon missing" alert on every normal carry, generating constant false alarms and destroying operator trust. 
The accountability question is not "is the weapon visible right now," but "is the weapon still where it should be."</v>
      </c>
    </row>
    <row r="13">
      <c r="A13" s="81"/>
      <c r="B13" s="85" t="s">
        <v>24</v>
      </c>
      <c r="C13" s="86" t="str">
        <f t="array" ref="C13">IFERROR(INDEX('Use Case Library'!B:T,MATCH(C2,'Use Case Library'!B:B,0),6),"")</f>
        <v>Maintain stable person identity within each station so weapon-association, dwell-time, and movement-tracking analytics (UC-051, UC-052) work continuously even when persons leave one camera view and reappear in another. Without Re-ID, ByteTrack assigns a new track ID every time a person crosses camera boundaries, breaking continuity of all dependent policies.</v>
      </c>
    </row>
    <row r="14">
      <c r="A14" s="81"/>
      <c r="B14" s="85" t="s">
        <v>25</v>
      </c>
      <c r="C14" s="86" t="str">
        <f t="array" ref="C14">IFERROR(INDEX('Use Case Library'!B:T,MATCH(C2,'Use Case Library'!B:B,0),7),"")</f>
        <v>Alert condition — the only trigger. A tracked, weapon-associated trainee crosses the base-station boundary and the weapon cannot be visually confirmed anywhere in the monitored scene at that moment (neither carried on the person nor set down within the area). Occlusion alone never triggers an alert; lane-to-lane movement never triggers an alert; only an unconfirmed weapon leaving the controlled boundary does.
Key distinction. "Occluded" ≠ "missing." Occlusion is a visibility state inside a known containment boundary; missing is an accountability state at the boundary edge. The system holds the weapon's last known association open for as long as the person carrying it remains tracked and inside the boundary, and only escalates when containment can no longer be assumed.</v>
      </c>
    </row>
    <row r="15">
      <c r="A15" s="81"/>
      <c r="B15" s="85" t="s">
        <v>26</v>
      </c>
      <c r="C15" s="86" t="str">
        <f t="array" ref="C15">IFERROR(INDEX('Use Case Library'!B:T,MATCH(C2,'Use Case Library'!B:B,0),8),"")</f>
        <v>(1) Weapon visible and associated, person inside the base-station boundary → armed, accounted for.
(2) Weapon no longer visible (occluded by carry posture), person still tracked inside the boundary → occluded, presumed retained — no alert. Occlusion is the expected condition once a weapon is carried. Movement between lanes (Lane 1 → Lane 6) is normal and never triggers an alert.
(3) Weapon-associated person crosses the base-station boundary while the weapon cannot be visually confirmed → accountability warning raised for human verification.</v>
      </c>
    </row>
    <row r="16">
      <c r="A16" s="81"/>
      <c r="B16" s="85" t="s">
        <v>27</v>
      </c>
      <c r="C16" s="86" t="str">
        <f t="array" ref="C16">IFERROR(INDEX('Use Case Library'!B:T,MATCH(C2,'Use Case Library'!B:B,0),9),"")</f>
        <v>Persistent person identity (re-ID) across all cameras covering the base station. A trainee tracked in Lane 1 must resolve to the same identity when they reappear in Lane 6, despite the camera handoff and any gap in coverage.
Weapon-to-person association. While weapon and person are jointly visible, the weapon is bound to that person's identity.
Association persistence under occlusion. Once bound, the weapon's status is inferred from the person's continuously tracked state. Loss of weapon visibility does not, on its own, change the weapon's status.</v>
      </c>
    </row>
    <row r="17">
      <c r="A17" s="81"/>
      <c r="B17" s="85" t="s">
        <v>28</v>
      </c>
      <c r="C17" s="86" t="str">
        <f t="array" ref="C17">IFERROR(INDEX('Use Case Library'!B:T,MATCH(C2,'Use Case Library'!B:B,0),10),"")</f>
        <v>No cross-camera tracking exists. ByteTrack provides per-camera track IDs only. A person crossing from one camera to another currently gets two unrelated IDs. Operator must mentally correlate the same individual across screens.</v>
      </c>
    </row>
    <row r="18">
      <c r="A18" s="81"/>
      <c r="B18" s="85" t="s">
        <v>709</v>
      </c>
      <c r="C18" s="86" t="str">
        <f t="array" ref="C18">IFERROR(INDEX('Use Case Library'!B:T,MATCH(C2,'Use Case Library'!B:B,0),11),"")</f>
        <v>- Identical uniforms / appearance among multiple persons (military training context)
- Heavy occlusion / partial body crops giving weak embeddings
- Lighting variation between cameras at the same station
- Persons leaving station coverage &gt; TTL and re-entering (gallery expired)
- Two stations adjacent — accidental cross-station match (prevented by design)
- YOLO26 embed() returns variable feature dim — handled with L2 normalize + first-extraction baseline</v>
      </c>
    </row>
    <row r="19">
      <c r="A19" s="81"/>
      <c r="B19" s="85" t="s">
        <v>33</v>
      </c>
      <c r="C19" s="86" t="str">
        <f t="array" ref="C19">IFERROR(INDEX('Use Case Library'!B:T,MATCH(C2,'Use Case Library'!B:B,0),15),"")</f>
        <v>BoT-SORT (Ultralytics v8.3.114+) with with_reid: True. YOLO26L person detector with embed() endpoint. GPU memory for embedding extraction. UC-051, UC-052 as consumers of person IDs.</v>
      </c>
    </row>
    <row r="20">
      <c r="A20" s="81"/>
      <c r="B20" s="85" t="s">
        <v>710</v>
      </c>
      <c r="C20" s="86" t="str">
        <f t="array" ref="C20">IFERROR(INDEX('Use Case Library'!B:T,MATCH(C2,'Use Case Library'!B:B,0),14),"")</f>
        <v>TWO-LAYER:
Layer 1 (BoT-SORT): per-camera identity via tracker reid_yaml — set with_reid: True, model: auto
Layer 2 (StationReID): every N frames, extract embedding via yolo_model.embed(crop), L2-normalize,
compare against station gallery; match if cosine &gt;= REID_MATCH_THRESHOLD (0.65 default);
ambiguous if top-2 within margin → defer; new_person if no match; transfer UC-051 locks on identity change.</v>
      </c>
    </row>
    <row r="21">
      <c r="A21" s="81"/>
      <c r="B21" s="85" t="s">
        <v>36</v>
      </c>
      <c r="C21" s="86" t="str">
        <f t="array" ref="C21">IFERROR(INDEX('Use Case Library'!B:T,MATCH(C2,'Use Case Library'!B:B,0),17),"")</f>
        <v>Visual Only</v>
      </c>
    </row>
    <row r="22">
      <c r="A22" s="87" t="s">
        <v>711</v>
      </c>
      <c r="B22" s="79"/>
      <c r="C22" s="80"/>
    </row>
    <row r="23">
      <c r="A23" s="105"/>
      <c r="B23" s="106" t="s">
        <v>712</v>
      </c>
      <c r="C23" s="58" t="s">
        <v>849</v>
      </c>
    </row>
    <row r="24">
      <c r="A24" s="105"/>
      <c r="B24" s="106" t="s">
        <v>714</v>
      </c>
      <c r="C24" s="58" t="s">
        <v>850</v>
      </c>
    </row>
    <row r="25">
      <c r="A25" s="105"/>
      <c r="B25" s="106" t="s">
        <v>716</v>
      </c>
      <c r="C25" s="58" t="s">
        <v>851</v>
      </c>
    </row>
    <row r="26">
      <c r="A26" s="105"/>
      <c r="B26" s="106" t="s">
        <v>718</v>
      </c>
      <c r="C26" s="57" t="s">
        <v>852</v>
      </c>
    </row>
    <row r="27">
      <c r="A27" s="105"/>
      <c r="B27" s="106" t="s">
        <v>720</v>
      </c>
      <c r="C27" s="58" t="s">
        <v>853</v>
      </c>
    </row>
    <row r="28">
      <c r="A28" s="105"/>
      <c r="B28" s="106" t="s">
        <v>722</v>
      </c>
      <c r="C28" s="58" t="s">
        <v>854</v>
      </c>
    </row>
    <row r="29">
      <c r="A29" s="105"/>
      <c r="B29" s="106" t="s">
        <v>724</v>
      </c>
      <c r="C29" s="58" t="s">
        <v>855</v>
      </c>
    </row>
    <row r="30">
      <c r="A30" s="107" t="s">
        <v>726</v>
      </c>
      <c r="B30" s="108"/>
      <c r="C30" s="109"/>
    </row>
    <row r="31">
      <c r="A31" s="105"/>
      <c r="B31" s="106" t="s">
        <v>729</v>
      </c>
      <c r="C31" s="58" t="s">
        <v>856</v>
      </c>
    </row>
    <row r="32">
      <c r="A32" s="105"/>
      <c r="B32" s="106" t="s">
        <v>731</v>
      </c>
      <c r="C32" s="58" t="s">
        <v>857</v>
      </c>
    </row>
    <row r="33">
      <c r="A33" s="84" t="s">
        <v>733</v>
      </c>
      <c r="B33" s="85" t="s">
        <v>734</v>
      </c>
      <c r="C33" s="12"/>
    </row>
    <row r="34" ht="30.0" customHeight="1">
      <c r="A34" s="81"/>
      <c r="B34" s="85" t="s">
        <v>735</v>
      </c>
      <c r="C34" s="12"/>
    </row>
    <row r="35" ht="30.0" customHeight="1">
      <c r="A35" s="81"/>
      <c r="B35" s="85" t="s">
        <v>736</v>
      </c>
      <c r="C35" s="12"/>
    </row>
    <row r="36" ht="30.0" customHeight="1">
      <c r="A36" s="81"/>
      <c r="B36" s="85" t="s">
        <v>735</v>
      </c>
      <c r="C36" s="12"/>
    </row>
    <row r="37" ht="30.0" customHeight="1">
      <c r="A37" s="81"/>
      <c r="B37" s="85" t="s">
        <v>737</v>
      </c>
      <c r="C37" s="12"/>
    </row>
    <row r="38" ht="30.0" customHeight="1">
      <c r="A38" s="81"/>
      <c r="B38" s="85" t="s">
        <v>735</v>
      </c>
      <c r="C38" s="12"/>
    </row>
    <row r="39" ht="30.0" customHeight="1">
      <c r="A39" s="81"/>
      <c r="B39" s="85" t="s">
        <v>738</v>
      </c>
      <c r="C39" s="12"/>
    </row>
    <row r="40" ht="30.0" customHeight="1">
      <c r="A40" s="81"/>
      <c r="B40" s="85" t="s">
        <v>735</v>
      </c>
      <c r="C40" s="12"/>
    </row>
    <row r="41" ht="27.75" customHeight="1">
      <c r="A41" s="88" t="s">
        <v>739</v>
      </c>
      <c r="B41" s="79"/>
      <c r="C41" s="80"/>
    </row>
    <row r="42" ht="30.0" customHeight="1">
      <c r="A42" s="81"/>
      <c r="B42" s="89" t="s">
        <v>740</v>
      </c>
      <c r="C42" s="12"/>
    </row>
    <row r="43" ht="30.0" customHeight="1">
      <c r="A43" s="81"/>
      <c r="B43" s="85" t="s">
        <v>741</v>
      </c>
      <c r="C43" s="12"/>
    </row>
    <row r="44" ht="30.0" customHeight="1">
      <c r="A44" s="81"/>
      <c r="B44" s="85" t="s">
        <v>742</v>
      </c>
      <c r="C44" s="12"/>
    </row>
    <row r="45" ht="30.0" customHeight="1">
      <c r="A45" s="81"/>
      <c r="B45" s="89" t="s">
        <v>743</v>
      </c>
      <c r="C45" s="12"/>
    </row>
    <row r="46" ht="30.0" customHeight="1">
      <c r="A46" s="81"/>
      <c r="B46" s="85" t="s">
        <v>741</v>
      </c>
      <c r="C46" s="12"/>
    </row>
    <row r="47" ht="30.0" customHeight="1">
      <c r="A47" s="81"/>
      <c r="B47" s="85" t="s">
        <v>742</v>
      </c>
      <c r="C47" s="12"/>
    </row>
    <row r="48" ht="30.0" customHeight="1">
      <c r="A48" s="81"/>
      <c r="B48" s="89" t="s">
        <v>744</v>
      </c>
      <c r="C48" s="12"/>
    </row>
    <row r="49" ht="30.0" customHeight="1">
      <c r="A49" s="81"/>
      <c r="B49" s="85" t="s">
        <v>741</v>
      </c>
      <c r="C49" s="12"/>
    </row>
    <row r="50" ht="30.0" customHeight="1">
      <c r="A50" s="81"/>
      <c r="B50" s="85" t="s">
        <v>742</v>
      </c>
      <c r="C50" s="12"/>
    </row>
    <row r="51" ht="30.0" customHeight="1">
      <c r="A51" s="84" t="s">
        <v>745</v>
      </c>
      <c r="B51" s="85" t="s">
        <v>746</v>
      </c>
      <c r="C51" s="12"/>
    </row>
    <row r="52">
      <c r="A52" s="81"/>
      <c r="B52" s="85" t="s">
        <v>747</v>
      </c>
      <c r="C52" s="12"/>
    </row>
    <row r="53">
      <c r="A53" s="81"/>
      <c r="B53" s="85" t="s">
        <v>748</v>
      </c>
      <c r="C53" s="12"/>
    </row>
    <row r="54">
      <c r="A54" s="81"/>
      <c r="B54" s="85" t="s">
        <v>749</v>
      </c>
      <c r="C54" s="12"/>
    </row>
    <row r="55">
      <c r="A55" s="81"/>
      <c r="B55" s="85" t="s">
        <v>750</v>
      </c>
      <c r="C55" s="12" t="s">
        <v>751</v>
      </c>
    </row>
    <row r="56">
      <c r="A56" s="84" t="s">
        <v>752</v>
      </c>
      <c r="B56" s="85" t="s">
        <v>753</v>
      </c>
      <c r="C56" s="12"/>
    </row>
    <row r="57">
      <c r="A57" s="81"/>
      <c r="B57" s="85" t="s">
        <v>754</v>
      </c>
      <c r="C57" s="12"/>
    </row>
    <row r="58">
      <c r="A58" s="81"/>
      <c r="B58" s="85" t="s">
        <v>755</v>
      </c>
      <c r="C58" s="12"/>
    </row>
    <row r="59">
      <c r="A59" s="81"/>
      <c r="B59" s="85" t="s">
        <v>756</v>
      </c>
      <c r="C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11:C11"/>
    <mergeCell ref="A22:C22"/>
    <mergeCell ref="A30:C30"/>
    <mergeCell ref="A41:C41"/>
  </mergeCell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2026-04-17T06:32:27Z</dcterms:created>
  <dc:creator>openpyxl</dc:creator>
</cp:coreProperties>
</file>